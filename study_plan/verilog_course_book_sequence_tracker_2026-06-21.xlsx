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pil\OneDrive\Desktop\Practiceverilog\study_plan\"/>
    </mc:Choice>
  </mc:AlternateContent>
  <xr:revisionPtr revIDLastSave="0" documentId="13_ncr:1_{B9160F27-8E8B-4347-A751-0F5D8187DF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y Sequence" sheetId="1" r:id="rId1"/>
    <sheet name="Video Playlist Raw" sheetId="2" r:id="rId2"/>
    <sheet name="Repo Questions Raw" sheetId="3" r:id="rId3"/>
    <sheet name="Guide" sheetId="4" r:id="rId4"/>
  </sheets>
  <calcPr calcId="191029"/>
</workbook>
</file>

<file path=xl/calcChain.xml><?xml version="1.0" encoding="utf-8"?>
<calcChain xmlns="http://schemas.openxmlformats.org/spreadsheetml/2006/main">
  <c r="B8" i="4" l="1"/>
  <c r="B7" i="4"/>
  <c r="B6" i="4"/>
  <c r="B5" i="4"/>
  <c r="B9" i="4" l="1"/>
</calcChain>
</file>

<file path=xl/sharedStrings.xml><?xml version="1.0" encoding="utf-8"?>
<sst xmlns="http://schemas.openxmlformats.org/spreadsheetml/2006/main" count="1177" uniqueCount="459">
  <si>
    <t>Sr No</t>
  </si>
  <si>
    <t>Phase</t>
  </si>
  <si>
    <t>Source</t>
  </si>
  <si>
    <t>Source No</t>
  </si>
  <si>
    <t>Item / Question Name</t>
  </si>
  <si>
    <t>Work Type</t>
  </si>
  <si>
    <t>Status</t>
  </si>
  <si>
    <t>Open Link</t>
  </si>
  <si>
    <t>Exact URL / Solution Path(s)</t>
  </si>
  <si>
    <t>Personal Observation / Why Now</t>
  </si>
  <si>
    <t>What I Learnt</t>
  </si>
  <si>
    <t>Output File / Where To Write</t>
  </si>
  <si>
    <t>Next Action</t>
  </si>
  <si>
    <t>Foundation already covered</t>
  </si>
  <si>
    <t>Video Playlist</t>
  </si>
  <si>
    <t>Video 01</t>
  </si>
  <si>
    <t>Introduction to Verilog: Modules, Number Representations &amp; Comments | Free DV Course|All about VLSI</t>
  </si>
  <si>
    <t>Video Lecture</t>
  </si>
  <si>
    <t>Done</t>
  </si>
  <si>
    <t>Open video</t>
  </si>
  <si>
    <t>https://www.youtube.com/watch?v=IP_8QJ5k2I8&amp;list=PLqPfWwayuBvPYYQS2h5p622vGR6aZIfux&amp;index=1</t>
  </si>
  <si>
    <t>Already covered. Keep as base revision for modules, number literals, comments, and HDL mindset.</t>
  </si>
  <si>
    <t>verilogRev.md</t>
  </si>
  <si>
    <t>Skim once and keep only weak points.</t>
  </si>
  <si>
    <t>Video 02</t>
  </si>
  <si>
    <t>Verilog Data Types Explained | reg, net, integer, real, time | Verilog Tutorial for Beginners</t>
  </si>
  <si>
    <t>https://www.youtube.com/watch?v=R57WWiEqkLQ&amp;list=PLqPfWwayuBvPYYQS2h5p622vGR6aZIfux&amp;index=2</t>
  </si>
  <si>
    <t>Already covered. This is the root of wire/net/reg confusion, so keep revising it while coding.</t>
  </si>
  <si>
    <t>Video 03</t>
  </si>
  <si>
    <t>Port Connection Rules in Verilog | Connect by Order vs Connect by Name Explained</t>
  </si>
  <si>
    <t>https://www.youtube.com/watch?v=C219U48xX04&amp;list=PLqPfWwayuBvPYYQS2h5p622vGR6aZIfux&amp;index=3</t>
  </si>
  <si>
    <t>Do this next because your current doubt is exactly module boundary, port direction, and net/reg ownership.</t>
  </si>
  <si>
    <t>Watch/re-watch, code along, then fill What I Learnt.</t>
  </si>
  <si>
    <t>Gate-level and structural basics</t>
  </si>
  <si>
    <t>Video 04</t>
  </si>
  <si>
    <t>Introduction to Gate Level Modeling in Verilog | Getting Started with Vivado Tool Interface</t>
  </si>
  <si>
    <t>Next</t>
  </si>
  <si>
    <t>https://www.youtube.com/watch?v=c-qxVcc-FbI&amp;list=PLqPfWwayuBvPYYQS2h5p622vGR6aZIfux&amp;index=4</t>
  </si>
  <si>
    <t>Start practical coding flow after the port/data-type foundation; also get comfortable with Vivado/project structure.</t>
  </si>
  <si>
    <t>Video 05</t>
  </si>
  <si>
    <t>Verilog Code for Full Adder using Half Adder | Gate Level Modeling | All about VLSI ||</t>
  </si>
  <si>
    <t>Not Started</t>
  </si>
  <si>
    <t>https://www.youtube.com/watch?v=VbtIJPZhXLo&amp;list=PLqPfWwayuBvPYYQS2h5p622vGR6aZIfux&amp;index=5</t>
  </si>
  <si>
    <t>First structural/gate-level reusable-module example; use it to understand module instantiation deeply.</t>
  </si>
  <si>
    <t>Video 06</t>
  </si>
  <si>
    <t>BCD and Ripple Carry Adder (RCA) Using GLM in Verilog | Digital Design Explained</t>
  </si>
  <si>
    <t>https://www.youtube.com/watch?v=_dqCK0T3d8E&amp;list=PLqPfWwayuBvPYYQS2h5p622vGR6aZIfux&amp;index=6</t>
  </si>
  <si>
    <t>Adder chaining and BCD correction are good for carry flow and multi-bit combinational thinking.</t>
  </si>
  <si>
    <t>Video 07</t>
  </si>
  <si>
    <t>2-Bit Comparator using Gate Level Modeling in Verilog | Digital Design &amp; Verilog HDL Tutorial</t>
  </si>
  <si>
    <t>https://www.youtube.com/watch?v=7r6BRVTjStc&amp;list=PLqPfWwayuBvPYYQS2h5p622vGR6aZIfux&amp;index=7</t>
  </si>
  <si>
    <t>Comparator logic prepares you for min/max and priority-style interview questions.</t>
  </si>
  <si>
    <t>Behavioral modeling and operators</t>
  </si>
  <si>
    <t>Video 08</t>
  </si>
  <si>
    <t>Introduction to Behavioral Modeling in Verilog | Verilog Tutorial for Beginners|| All about VLSI ||</t>
  </si>
  <si>
    <t>https://www.youtube.com/watch?v=dTCiUa-s2YE&amp;list=PLqPfWwayuBvPYYQS2h5p622vGR6aZIfux&amp;index=8</t>
  </si>
  <si>
    <t>Switch from structural gates to always blocks; this is where reg vs hardware-register confusion starts.</t>
  </si>
  <si>
    <t>Video 09</t>
  </si>
  <si>
    <t>Operators in Verilog Part 2 | Bitwise, Relational &amp; Equality Operators with Examples</t>
  </si>
  <si>
    <t>https://www.youtube.com/watch?v=5niKP6J4x1M&amp;list=PLqPfWwayuBvPYYQS2h5p622vGR6aZIfux&amp;index=9</t>
  </si>
  <si>
    <t>Operators must be clear before writing compact RTL expressions.</t>
  </si>
  <si>
    <t>Video 10</t>
  </si>
  <si>
    <t>Logical Operators, Shift &amp; Concatenation in Verilog | Verilog Basics Explained || All about VLSI ||</t>
  </si>
  <si>
    <t>https://www.youtube.com/watch?v=s7FXSFFniWQ&amp;list=PLqPfWwayuBvPYYQS2h5p622vGR6aZIfux&amp;index=10</t>
  </si>
  <si>
    <t>Shift, logical, and concatenation operators directly connect to width, vector, and sign-extension mistakes.</t>
  </si>
  <si>
    <t>Video 11</t>
  </si>
  <si>
    <t>Blocking vs Non-Blocking in Verilog | Inter vs Intra Assignment Explained || All about VLSI ||</t>
  </si>
  <si>
    <t>https://www.youtube.com/watch?v=VG5xdgxjtOY&amp;list=PLqPfWwayuBvPYYQS2h5p622vGR6aZIfux&amp;index=11</t>
  </si>
  <si>
    <t>Blocking/non-blocking is mandatory before any sequential RTL or testbench reasoning.</t>
  </si>
  <si>
    <t>notes/video_11_blocking_vs_non_blocking_in_verilog_inter_.md</t>
  </si>
  <si>
    <t>Video 12</t>
  </si>
  <si>
    <t>Verilog Event Scheduler &amp; System Tasks Explained with Examples | Verilog full course |All about VLSI</t>
  </si>
  <si>
    <t>https://www.youtube.com/watch?v=eAlZy7yf-Rg&amp;list=PLqPfWwayuBvPYYQS2h5p622vGR6aZIfux&amp;index=12</t>
  </si>
  <si>
    <t>Scheduler knowledge explains why simulation output may not match your first mental model.</t>
  </si>
  <si>
    <t>notes/video_12_verilog_event_scheduler_system_tasks_expla.md</t>
  </si>
  <si>
    <t>Video 13</t>
  </si>
  <si>
    <t>Verilog Practice on HDLBits | Step-by-Step Problem Solving Explained</t>
  </si>
  <si>
    <t>https://www.youtube.com/watch?v=jraM0kEMsug&amp;list=PLqPfWwayuBvPYYQS2h5p622vGR6aZIfux&amp;index=13</t>
  </si>
  <si>
    <t>Use HDLBits as quick drills after syntax fundamentals; record weak topics after solving.</t>
  </si>
  <si>
    <t>notes/video_13_verilog_practice_on_hdlbits_step_by_step_p.md</t>
  </si>
  <si>
    <t>Video 14</t>
  </si>
  <si>
    <t>Event Scheduler in Verilog final part| $monitor | Behavioral Modeling with Half Adder</t>
  </si>
  <si>
    <t>https://www.youtube.com/watch?v=gKp9t-K7XyM&amp;list=PLqPfWwayuBvPYYQS2h5p622vGR6aZIfux&amp;index=14</t>
  </si>
  <si>
    <t>Finish scheduler/system-task understanding and connect it to a behavioral half-adder testbench.</t>
  </si>
  <si>
    <t>notes/video_14_event_scheduler_in_verilog_final_part_moni.md</t>
  </si>
  <si>
    <t>Book/Repo Question</t>
  </si>
  <si>
    <t>Book Q01</t>
  </si>
  <si>
    <t>Difference between blocking and non-blocking statements, and when they are used</t>
  </si>
  <si>
    <t>Theory</t>
  </si>
  <si>
    <t>Open solution</t>
  </si>
  <si>
    <t>notes/pdf_q01_q02_theory.md</t>
  </si>
  <si>
    <t>Do after blocking/NBA video; make a timing table showing how = and &lt;= differ.</t>
  </si>
  <si>
    <t>Read linked solution, re-derive on paper, then run/add testbench if code exists.</t>
  </si>
  <si>
    <t>Book Q02</t>
  </si>
  <si>
    <t>Difference between logical and bitwise operators</t>
  </si>
  <si>
    <t>Do after operator videos; distinguish bitwise vector logic from logical condition checks.</t>
  </si>
  <si>
    <t>Combinational coding practice</t>
  </si>
  <si>
    <t>Video 15</t>
  </si>
  <si>
    <t>Full adder and Half subtractor verilog code in behavioral modelling || Verilog full course |</t>
  </si>
  <si>
    <t>https://www.youtube.com/watch?v=es5uRydhfHM&amp;list=PLqPfWwayuBvPYYQS2h5p622vGR6aZIfux&amp;index=15</t>
  </si>
  <si>
    <t>Rebuild adder/subtractor behaviorally and compare against earlier gate-level style.</t>
  </si>
  <si>
    <t>notes/video_15_full_adder_and_half_subtractor_verilog_cod.md</t>
  </si>
  <si>
    <t>Video 16</t>
  </si>
  <si>
    <t>BCD Adder and Ripple Carry Adder using Behavioral Modeling | Verilog Explained Step-by-Step</t>
  </si>
  <si>
    <t>https://www.youtube.com/watch?v=iqtwooX8aOs&amp;list=PLqPfWwayuBvPYYQS2h5p622vGR6aZIfux&amp;index=16</t>
  </si>
  <si>
    <t>Repeat BCD/RCA in behavioral style; compare code clarity and hardware intent against GLM.</t>
  </si>
  <si>
    <t>notes/video_16_bcd_adder_and_ripple_carry_adder_using_beh.md</t>
  </si>
  <si>
    <t>Video 17</t>
  </si>
  <si>
    <t>Loops &amp; Case Statements in Verilog | MUX Design and Testbench using Case Statement Explained</t>
  </si>
  <si>
    <t>https://www.youtube.com/watch?v=g1MkRBDuM1Y&amp;list=PLqPfWwayuBvPYYQS2h5p622vGR6aZIfux&amp;index=17</t>
  </si>
  <si>
    <t>Case statements and loops are the practical base for muxes, counters, encoders, and testbenches.</t>
  </si>
  <si>
    <t>notes/video_17_loops_case_statements_in_verilog_mux_desig.md</t>
  </si>
  <si>
    <t>Video 18</t>
  </si>
  <si>
    <t>MUX and DEMUX Design in Verilog | Using if-else &amp; case statements explained</t>
  </si>
  <si>
    <t>https://www.youtube.com/watch?v=HoQk9CSSGQ8&amp;list=PLqPfWwayuBvPYYQS2h5p622vGR6aZIfux&amp;index=18</t>
  </si>
  <si>
    <t>Mux/demux is a core RTL pattern; immediately solve the repo mux questions after this.</t>
  </si>
  <si>
    <t>notes/video_18_mux_and_demux_design_in_verilog_using_if_e.md</t>
  </si>
  <si>
    <t>Book Q03</t>
  </si>
  <si>
    <t>Write code for logic gates: and, or, xor, nand, nor, xnor</t>
  </si>
  <si>
    <t>Code</t>
  </si>
  <si>
    <t>qa/pdf_q03_q06/q03_logic_gates.v</t>
  </si>
  <si>
    <t>Do after gate-level intro; write clean module headers and test each primitive gate output.</t>
  </si>
  <si>
    <t>Book Q04</t>
  </si>
  <si>
    <t>Bitwise reduction on a multibit signal</t>
  </si>
  <si>
    <t>qa/pdf_q03_q06/q04_bitwise_reduction.v</t>
  </si>
  <si>
    <t>Do after bitwise operator revision; reduction operators are unary and often used for parity/zero checks.</t>
  </si>
  <si>
    <t>Book Q05</t>
  </si>
  <si>
    <t>Code that multiplies/divides by powers of 2</t>
  </si>
  <si>
    <t>qa/pdf_q03_q06/q05_shift_operations.v</t>
  </si>
  <si>
    <t>Do after shift operator video; prove when shift equals multiply/divide and when width truncation breaks it.</t>
  </si>
  <si>
    <t>Book Q06</t>
  </si>
  <si>
    <t>Perform sign extension</t>
  </si>
  <si>
    <t>qa/pdf_q03_q06/q06_sign_extension.v</t>
  </si>
  <si>
    <t>Do after vector/sign discussion; focus on sign bit replication and output width.</t>
  </si>
  <si>
    <t>Book Q07</t>
  </si>
  <si>
    <t>Three ways to code a 4:1 mux in Verilog</t>
  </si>
  <si>
    <t>Code (single file, 3 styles)</t>
  </si>
  <si>
    <t>qa/pdf_q07_q11/q07_mux4_styles.v</t>
  </si>
  <si>
    <t>Do right after mux/demux videos; compare conditional operator, if/else, and case style.</t>
  </si>
  <si>
    <t>Book Q08</t>
  </si>
  <si>
    <t>Synthesis result of previous mux coding styles</t>
  </si>
  <si>
    <t>notes/pdf_q08_q11_theory.md</t>
  </si>
  <si>
    <t>Do after Q7; explain why different source styles may synthesize to equivalent mux hardware.</t>
  </si>
  <si>
    <t>Video 19</t>
  </si>
  <si>
    <t>Encoder, Decoder &amp; Priority Encoder in Verilog | Behavioral Modeling using CASEX || All about VLSI</t>
  </si>
  <si>
    <t>https://www.youtube.com/watch?v=WYRdgAT-1_4&amp;list=PLqPfWwayuBvPYYQS2h5p622vGR6aZIfux&amp;index=19</t>
  </si>
  <si>
    <t>Encoder/decoder/priority encoder build case/casex discipline and default-case habits.</t>
  </si>
  <si>
    <t>notes/video_19_encoder_decoder_priority_encoder_in_verilo.md</t>
  </si>
  <si>
    <t>Sequential storage and registers</t>
  </si>
  <si>
    <t>Video 20</t>
  </si>
  <si>
    <t>SR Latch Design in Verilog | Step-by-Step Explanation for Beginners || Verilog full course ||</t>
  </si>
  <si>
    <t>https://www.youtube.com/watch?v=EZQq-1W2OFI&amp;list=PLqPfWwayuBvPYYQS2h5p622vGR6aZIfux&amp;index=20</t>
  </si>
  <si>
    <t>Begin sequential storage carefully; latches are useful to understand but easy to infer accidentally.</t>
  </si>
  <si>
    <t>notes/video_20_sr_latch_design_in_verilog_step_by_step_ex.md</t>
  </si>
  <si>
    <t>Video 21</t>
  </si>
  <si>
    <t>D, JK &amp; T Latch Design in Verilog | Verilog Sequential Circuits Explained</t>
  </si>
  <si>
    <t>https://www.youtube.com/watch?v=kjtisRDYObI&amp;list=PLqPfWwayuBvPYYQS2h5p622vGR6aZIfux&amp;index=21</t>
  </si>
  <si>
    <t>Compare latch types and prepare for flip-flop/reset style questions.</t>
  </si>
  <si>
    <t>notes/video_21_d_jk_t_latch_design_in_verilog_verilog_seq.md</t>
  </si>
  <si>
    <t>Book Q09</t>
  </si>
  <si>
    <t>Asynchronous vs synchronous flip-flops with pros/cons</t>
  </si>
  <si>
    <t>Code + Theory</t>
  </si>
  <si>
    <t>qa/pdf_q07_q11/q09_ff_reset_styles.v, notes/pdf_q08_q11_theory.md</t>
  </si>
  <si>
    <t>Do after latch/FF videos; separate reset style from storage element behavior.</t>
  </si>
  <si>
    <t>Book Q10</t>
  </si>
  <si>
    <t>Capture input using latch and flip-flop</t>
  </si>
  <si>
    <t>qa/pdf_q07_q11/q10_latch_and_flop.v, notes/pdf_q08_q11_theory.md</t>
  </si>
  <si>
    <t>Do after latch videos; compare transparent latch timing vs edge-triggered sampling.</t>
  </si>
  <si>
    <t>Video 22</t>
  </si>
  <si>
    <t>SISO &amp; SIPO Design using Verilog | Verilog full course || All about VLSI ||</t>
  </si>
  <si>
    <t>https://www.youtube.com/watch?v=rBpprJN516A&amp;list=PLqPfWwayuBvPYYQS2h5p622vGR6aZIfux&amp;index=22</t>
  </si>
  <si>
    <t>Shift-register basics: serial/parallel movement and bit-order conventions.</t>
  </si>
  <si>
    <t>notes/video_22_siso_sipo_design_using_verilog_verilog_ful.md</t>
  </si>
  <si>
    <t>Video 23</t>
  </si>
  <si>
    <t>PISO and PIPO Register in Verilog | Shift Register Design Explained with Code</t>
  </si>
  <si>
    <t>https://www.youtube.com/watch?v=6Abaq6wvgj4&amp;list=PLqPfWwayuBvPYYQS2h5p622vGR6aZIfux&amp;index=23</t>
  </si>
  <si>
    <t>More shift-register variants; focus on load, shift direction, and output timing.</t>
  </si>
  <si>
    <t>notes/video_23_piso_and_pipo_register_in_verilog_shift_re.md</t>
  </si>
  <si>
    <t>Video 24</t>
  </si>
  <si>
    <t>Universal Shift Register in Verilog | Code Development &amp; Working Explained | Verilog Projects</t>
  </si>
  <si>
    <t>https://www.youtube.com/watch?v=EbFvuOIsiz4&amp;list=PLqPfWwayuBvPYYQS2h5p622vGR6aZIfux&amp;index=24</t>
  </si>
  <si>
    <t>Unifies shift-register controls; good bridge to counters and state machines.</t>
  </si>
  <si>
    <t>notes/video_24_universal_shift_register_in_verilog_code_d.md</t>
  </si>
  <si>
    <t>Video 25</t>
  </si>
  <si>
    <t>Blocking vs Non-Blocking in Verilog | MOD-4 Synchronous Up Counter Explained | Verilog for Beginners</t>
  </si>
  <si>
    <t>https://www.youtube.com/watch?v=CEFFm50USgA&amp;list=PLqPfWwayuBvPYYQS2h5p622vGR6aZIfux&amp;index=25</t>
  </si>
  <si>
    <t>Counter plus NBA reinforcement; verify clocked update ordering with a trace table.</t>
  </si>
  <si>
    <t>notes/video_25_blocking_vs_non_blocking_in_verilog_mod_4_.md</t>
  </si>
  <si>
    <t>Video 26</t>
  </si>
  <si>
    <t>Universal Counter in Verilog | Mod, Even, Up Down Counter in One Module | Verilog full course ||</t>
  </si>
  <si>
    <t>https://www.youtube.com/watch?v=fgGQI_r_J_g&amp;list=PLqPfWwayuBvPYYQS2h5p622vGR6aZIfux&amp;index=26</t>
  </si>
  <si>
    <t>Generalize counter design before clock divider/frequency questions.</t>
  </si>
  <si>
    <t>notes/video_26_universal_counter_in_verilog_mod_even_up_d.md</t>
  </si>
  <si>
    <t>Book Q11</t>
  </si>
  <si>
    <t>Detect signal transitions in either direction (with timing)</t>
  </si>
  <si>
    <t>qa/pdf_q07_q11/q11_edge_detect.v, notes/pdf_q08_q11_theory.md</t>
  </si>
  <si>
    <t>Do after counters/sequential basics; edge detect is previous-sample comparison.</t>
  </si>
  <si>
    <t>Book Q12</t>
  </si>
  <si>
    <t>Design a circuit to detect a 1-cycle pulse input</t>
  </si>
  <si>
    <t>qa/pdf_q12_q18/q12_one_cycle_pulse_detect.v</t>
  </si>
  <si>
    <t>Do after edge detect; one-cycle pulse is a registered history problem.</t>
  </si>
  <si>
    <t>Counters, timing, and frequency division</t>
  </si>
  <si>
    <t>Video 27</t>
  </si>
  <si>
    <t>Frequency Division by Even Numbers in Verilog | Clock Divider Explained with Code Example</t>
  </si>
  <si>
    <t>https://www.youtube.com/watch?v=ztWEL1bTlbM&amp;list=PLqPfWwayuBvPYYQS2h5p622vGR6aZIfux&amp;index=27</t>
  </si>
  <si>
    <t>Even clock division is the clean base before odd division and duty-cycle variants.</t>
  </si>
  <si>
    <t>notes/video_27_frequency_division_by_even_numbers_in_veri.md</t>
  </si>
  <si>
    <t>Video 28</t>
  </si>
  <si>
    <t>Frequency Division by 3, 5 &amp; MOD-3/5/7 Counter Design in Verilog | Digital Design Explained</t>
  </si>
  <si>
    <t>https://www.youtube.com/watch?v=zGco7Hs6byo&amp;list=PLqPfWwayuBvPYYQS2h5p622vGR6aZIfux&amp;index=28</t>
  </si>
  <si>
    <t>Odd counters/dividers; pair this with repo /3, /5, /7 frequency notes.</t>
  </si>
  <si>
    <t>notes/video_28_frequency_division_by_3_5_mod_3_5_7_counte.md</t>
  </si>
  <si>
    <t>Video 29</t>
  </si>
  <si>
    <t>Frequency Divider by 3 with 50% Duty Cycle | Verilog Code Explained Step-by-Step</t>
  </si>
  <si>
    <t>https://www.youtube.com/watch?v=lIvffVAoMsk&amp;list=PLqPfWwayuBvPYYQS2h5p622vGR6aZIfux&amp;index=29</t>
  </si>
  <si>
    <t>Important odd divider 50% duty-cycle technique; compare posedge/negedge approaches.</t>
  </si>
  <si>
    <t>notes/video_29_frequency_divider_by_3_with_50_duty_cycle_.md</t>
  </si>
  <si>
    <t>Video 30</t>
  </si>
  <si>
    <t>Frequency Division by 1.5 in Verilog | Clock Divider Logic Explained with Code||All about VLSI ||</t>
  </si>
  <si>
    <t>https://www.youtube.com/watch?v=ahT-pQ9lmQU&amp;list=PLqPfWwayuBvPYYQS2h5p622vGR6aZIfux&amp;index=30</t>
  </si>
  <si>
    <t>Non-integer division stretches your timing intuition; treat as advanced divider practice.</t>
  </si>
  <si>
    <t>notes/video_30_frequency_division_by_1_5_in_verilog_clock.md</t>
  </si>
  <si>
    <t>Dataflow and FSM mastery</t>
  </si>
  <si>
    <t>Video 31</t>
  </si>
  <si>
    <t>Dataflow Modelling in Verilog Explained | Beginners Guide to HDL Coding|| ALL ABOUT VLSI ||</t>
  </si>
  <si>
    <t>https://www.youtube.com/watch?v=FR12MV9gkz4&amp;list=PLqPfWwayuBvPYYQS2h5p622vGR6aZIfux&amp;index=31</t>
  </si>
  <si>
    <t>Dataflow modeling revision before FSM/memory projects; compare assign vs always styles.</t>
  </si>
  <si>
    <t>notes/video_31_dataflow_modelling_in_verilog_explained_be.md</t>
  </si>
  <si>
    <t>Video 32</t>
  </si>
  <si>
    <t>Introduction to FSM | How to Design Finite State Machines in Verilog (Theory Explained)</t>
  </si>
  <si>
    <t>https://www.youtube.com/watch?v=Z8d3Y96BDOo&amp;list=PLqPfWwayuBvPYYQS2h5p622vGR6aZIfux&amp;index=32</t>
  </si>
  <si>
    <t>FSM theory first: states, transitions, outputs, Moore vs Mealy.</t>
  </si>
  <si>
    <t>notes/video_32_introduction_to_fsm_how_to_design_finite_s.md</t>
  </si>
  <si>
    <t>Video 33</t>
  </si>
  <si>
    <t>FSM Coding in Verilog | Mealy &amp; Moore FSM Design | Verilog HDL Example | Part-2 (Coding)</t>
  </si>
  <si>
    <t>https://www.youtube.com/watch?v=xp_O1pflcZ4&amp;list=PLqPfWwayuBvPYYQS2h5p622vGR6aZIfux&amp;index=33</t>
  </si>
  <si>
    <t>FSM coding after theory; immediately solve sequence detector/divisible-by-3 repo tasks.</t>
  </si>
  <si>
    <t>notes/video_33_fsm_coding_in_verilog_mealy_moore_fsm_desi.md</t>
  </si>
  <si>
    <t>Book Q13</t>
  </si>
  <si>
    <t>Sequence detector for pattern 10110 (4 FSM variants)</t>
  </si>
  <si>
    <t>Code (single file, variants A/B/C/D)</t>
  </si>
  <si>
    <t>qa/pdf_q12_q18/q13_seq_10110_fsms_abcd.v</t>
  </si>
  <si>
    <t>Do after FSM coding video; write states and transition table before RTL.</t>
  </si>
  <si>
    <t>Book Q14</t>
  </si>
  <si>
    <t>Detect if pattern 10110 appears in the last 5 inputs</t>
  </si>
  <si>
    <t>qa/pdf_q12_q18/q14_last5_detect_10110.v, notes/pdf_q14_q18_theory.md</t>
  </si>
  <si>
    <t>Do after Q13; compare shift-register pattern detect vs FSM detect.</t>
  </si>
  <si>
    <t>Book Q15</t>
  </si>
  <si>
    <t>Generate start and rotating chip_select pulses from timing</t>
  </si>
  <si>
    <t>qa/pdf_q12_q18/q15_start_and_chipselects.v, notes/pdf_q14_q18_theory.md</t>
  </si>
  <si>
    <t>Do after timing/FSM practice; derive waveform sequence before writing counters.</t>
  </si>
  <si>
    <t>Book Q16</t>
  </si>
  <si>
    <t>Debounce/synchronize async input and output one pulse on valid rise</t>
  </si>
  <si>
    <t>qa/pdf_q12_q18/q16_sync_debounce_onepulse.v</t>
  </si>
  <si>
    <t>Do after synchronizer/pulse tasks; keep metastability, debounce, and edge pulse separate.</t>
  </si>
  <si>
    <t>Book Q17</t>
  </si>
  <si>
    <t>Generate Gray code counter (table method + XOR method)</t>
  </si>
  <si>
    <t>qa/pdf_q12_q18/q17_gray_counter_methods.v, notes/pdf_q14_q18_theory.md</t>
  </si>
  <si>
    <t>Do after counter/FSM basics; Gray code must change only one bit per transition.</t>
  </si>
  <si>
    <t>Memory, FIFO, CDC, and projects</t>
  </si>
  <si>
    <t>Book Q18</t>
  </si>
  <si>
    <t>Design synchronous FIFO with dual-port RAM, full/empty flags</t>
  </si>
  <si>
    <t>qa/pdf_q12_q18/q18_fifo_sync_dualport.v, notes/pdf_q14_q18_theory.md</t>
  </si>
  <si>
    <t>Do after FIFO video; focus on pointer movement and flag timing.</t>
  </si>
  <si>
    <t>Book Q19</t>
  </si>
  <si>
    <t>Detect if serially received number is divisible by 3</t>
  </si>
  <si>
    <t>qa/pdf_q19_q20/q19_divisible_by3_fsm.v, notes/pdf_q19_q20_theory.md</t>
  </si>
  <si>
    <t>Do after FSM coding; modulo-3 remainder states make the solution intuitive.</t>
  </si>
  <si>
    <t>Book Q20</t>
  </si>
  <si>
    <t>Generate Fibonacci sequence with enable control</t>
  </si>
  <si>
    <t>qa/pdf_q19_q20/q20_fibonacci_enable.v, notes/pdf_q19_q20_theory.md</t>
  </si>
  <si>
    <t>Do after counters; Fibonacci is sequential state update with enable.</t>
  </si>
  <si>
    <t>Book Q21</t>
  </si>
  <si>
    <t>Find maximum and second maximum from a group with least comparators</t>
  </si>
  <si>
    <t>qa/pdf_q21/q21_max_and_second_max_onecmp.v, notes/pdf_q21_theory.md</t>
  </si>
  <si>
    <t>Do after comparator video; tournament comparison is the least-comparator idea.</t>
  </si>
  <si>
    <t>Book Q22</t>
  </si>
  <si>
    <t>Generate second/minute/hour ticks from a 1 ms pulse input</t>
  </si>
  <si>
    <t>qa/pdf_q22_q23/q22_time_ticks.v, notes/pdf_q22_q23_theory.md</t>
  </si>
  <si>
    <t>Do after counter videos; nested counters/tick pulses are reusable timing blocks.</t>
  </si>
  <si>
    <t>Book Q23</t>
  </si>
  <si>
    <t>Build waveform B from clock + A timing relationship</t>
  </si>
  <si>
    <t>qa/pdf_q22_q23/q23_timing_b_from_a.v, notes/pdf_q22_q23_theory.md</t>
  </si>
  <si>
    <t>Do after timing ticks; read waveform relationship first, then encode it.</t>
  </si>
  <si>
    <t>Book Q24</t>
  </si>
  <si>
    <t>Design a 5-tap FIR filter and discuss an application</t>
  </si>
  <si>
    <t>qa/pdf_q24/q24_fir_5tap.v, notes/pdf_q24_theory.md</t>
  </si>
  <si>
    <t>Do after dataflow modeling; focus on taps, signed arithmetic, and output width.</t>
  </si>
  <si>
    <t>Book Q25</t>
  </si>
  <si>
    <t>Write Verilog code for clock divide-by-2 circuit</t>
  </si>
  <si>
    <t>qa/pdf_q25_q26/q25_clock_div2.v, notes/pdf_q25_q26_theory.md</t>
  </si>
  <si>
    <t>Do after even divider video; divide-by-2 is the simplest toggle flop divider.</t>
  </si>
  <si>
    <t>Book Q26</t>
  </si>
  <si>
    <t>Clock divide-by-3 circuit with 50-50 duty cycle</t>
  </si>
  <si>
    <t>qa/pdf_q25_q26/q26_clock_div3_duty50.v, notes/pdf_q25_q26_theory.md</t>
  </si>
  <si>
    <t>Do after odd divider video; understand why exact 50% duty needs both clock edges or extra logic.</t>
  </si>
  <si>
    <t>Book Q27</t>
  </si>
  <si>
    <t>Clock divide-by-N circuit</t>
  </si>
  <si>
    <t>qa/pdf_q27/q27_clock_div_n.v, qa/pdf_q27/q27_clock_divider_variants.v, notes/pdf_q27_theory.md</t>
  </si>
  <si>
    <t>Do after /2 and /3; generalize counter threshold and duty-cycle modes.</t>
  </si>
  <si>
    <t>Book Q28</t>
  </si>
  <si>
    <t>Design a glitch-free clock gating cell with enable</t>
  </si>
  <si>
    <t>qa/pdf_q28_q30/q28_glitch_free_clock_gate.v, notes/pdf_q28_q30_theory.md</t>
  </si>
  <si>
    <t>Do after divider/gating topics; learn why clock gates must avoid glitches.</t>
  </si>
  <si>
    <t>Book Q29</t>
  </si>
  <si>
    <t>Detect a rising edge of a signal when clocks are off</t>
  </si>
  <si>
    <t>qa/pdf_q28_q30/q29_async_rise_detect_when_clocks_off.v, notes/pdf_q28_q30_theory.md</t>
  </si>
  <si>
    <t>Do after async/sync review; detecting when clocks are off needs careful event ownership.</t>
  </si>
  <si>
    <t>Book Q30</t>
  </si>
  <si>
    <t>Reset synchronizer with async assert and sync deassert</t>
  </si>
  <si>
    <t>qa/pdf_q28_q30/q30_reset_synchronizer.v, notes/pdf_q28_q30_theory.md</t>
  </si>
  <si>
    <t>Do before CDC/FIFO async work; async assert and sync deassert is a standard reset pattern.</t>
  </si>
  <si>
    <t>Book Q31</t>
  </si>
  <si>
    <t>Design asynchronous FIFO with Gray-coded pointers</t>
  </si>
  <si>
    <t>qa/pdf_q31/q31_async_fifo_grayptr.v</t>
  </si>
  <si>
    <t>Do after FIFO and reset sync; async FIFO combines Gray pointers, CDC, and flag generation.</t>
  </si>
  <si>
    <t>Book Q32</t>
  </si>
  <si>
    <t>Frequency division /3 for 33.33%, 66.67%, and exact 50% duty cycle</t>
  </si>
  <si>
    <t>Theory (cited note)</t>
  </si>
  <si>
    <t>frequency_division/f_div_3_all_duty_cycles.md</t>
  </si>
  <si>
    <t>Do after /3 video; keep all duty-cycle variants in one comparison table.</t>
  </si>
  <si>
    <t>Book Q33</t>
  </si>
  <si>
    <t>Frequency division /5 for 20%, 40%, 60%, 80%, and exact 50% duty cycle</t>
  </si>
  <si>
    <t>frequency_division/f_div_5_all_duty_cycles.md</t>
  </si>
  <si>
    <t>Do after /5 counter video; odd divide duty options become a pattern.</t>
  </si>
  <si>
    <t>Book Q34</t>
  </si>
  <si>
    <t>Frequency division /7 for 14.29%, 28.57%, 42.86%, 57.14%, 71.43%, 85.71%, and exact 50% duty cycle</t>
  </si>
  <si>
    <t>frequency_division/f_div_7_all_duty_cycles.md</t>
  </si>
  <si>
    <t>Do after /7 counter/divider practice; this closes the frequency-division block.</t>
  </si>
  <si>
    <t>Video 34</t>
  </si>
  <si>
    <t>8×8 RAM Project Development | Verilog RAM Design Explained Step-by-Step | Project Development Series</t>
  </si>
  <si>
    <t>https://www.youtube.com/watch?v=SGnQL8q-uwM&amp;list=PLqPfWwayuBvPYYQS2h5p622vGR6aZIfux&amp;index=34</t>
  </si>
  <si>
    <t>Memory project begins; pay attention to address, write-enable, and registered output choices.</t>
  </si>
  <si>
    <t>notes/video_34_8_8_ram_project_development_verilog_ram_de.md</t>
  </si>
  <si>
    <t>Video 35</t>
  </si>
  <si>
    <t>FIFO Design in Verilog | Handling Different Read/Write Speeds | Practical FIFO Application</t>
  </si>
  <si>
    <t>https://www.youtube.com/watch?v=dU2FMQWa-30&amp;list=PLqPfWwayuBvPYYQS2h5p622vGR6aZIfux&amp;index=35</t>
  </si>
  <si>
    <t>FIFO is a major interview topic; connect it to full/empty flags and pointer movement.</t>
  </si>
  <si>
    <t>notes/video_35_fifo_design_in_verilog_handling_different_.md</t>
  </si>
  <si>
    <t>Video 36</t>
  </si>
  <si>
    <t>Decoder based RAM Development Project in Verilog |Verilog Projects Series – Project 2 |</t>
  </si>
  <si>
    <t>https://www.youtube.com/watch?v=xEBPAhz1X-8&amp;list=PLqPfWwayuBvPYYQS2h5p622vGR6aZIfux&amp;index=36</t>
  </si>
  <si>
    <t>RAM plus decoder structure reinforces hierarchy and address decoding.</t>
  </si>
  <si>
    <t>notes/video_36_decoder_based_ram_development_project_in_v.md</t>
  </si>
  <si>
    <t>Video 37</t>
  </si>
  <si>
    <t>Hamming Code Generator and Detector | Verilog Project Development Series</t>
  </si>
  <si>
    <t>https://www.youtube.com/watch?v=ImZkkZI4A70&amp;list=PLqPfWwayuBvPYYQS2h5p622vGR6aZIfux&amp;index=37</t>
  </si>
  <si>
    <t>Error detection/correction project; useful for parity, syndrome, and vector logic confidence.</t>
  </si>
  <si>
    <t>notes/video_37_hamming_code_generator_and_detector_verilo.md</t>
  </si>
  <si>
    <t>Video 38</t>
  </si>
  <si>
    <t>Elevator Controller Design Using Verilog | Theory &amp; FSM Explanation | Verilog Project Series  Part 1</t>
  </si>
  <si>
    <t>https://www.youtube.com/watch?v=YgVKWwAv9FA&amp;list=PLqPfWwayuBvPYYQS2h5p622vGR6aZIfux&amp;index=38</t>
  </si>
  <si>
    <t>Elevator controller theory is an FSM capstone; draw states before coding.</t>
  </si>
  <si>
    <t>notes/video_38_elevator_controller_design_using_verilog_t.md</t>
  </si>
  <si>
    <t>Video 39</t>
  </si>
  <si>
    <t>Elevator Controller Design in Verilog | Part 2 | RTL Coding &amp; FSM Implementation</t>
  </si>
  <si>
    <t>https://www.youtube.com/watch?v=GgzwLW2je8A&amp;list=PLqPfWwayuBvPYYQS2h5p622vGR6aZIfux&amp;index=39</t>
  </si>
  <si>
    <t>Final RTL implementation of the elevator FSM; use it as the capstone coding task.</t>
  </si>
  <si>
    <t>notes/video_39_elevator_controller_design_in_verilog_part.md</t>
  </si>
  <si>
    <t>Video No</t>
  </si>
  <si>
    <t>Title</t>
  </si>
  <si>
    <t>Duration</t>
  </si>
  <si>
    <t>Exact Link</t>
  </si>
  <si>
    <t>Video ID</t>
  </si>
  <si>
    <t>IP_8QJ5k2I8</t>
  </si>
  <si>
    <t>R57WWiEqkLQ</t>
  </si>
  <si>
    <t>C219U48xX04</t>
  </si>
  <si>
    <t>c-qxVcc-FbI</t>
  </si>
  <si>
    <t>VbtIJPZhXLo</t>
  </si>
  <si>
    <t>_dqCK0T3d8E</t>
  </si>
  <si>
    <t>7r6BRVTjStc</t>
  </si>
  <si>
    <t>dTCiUa-s2YE</t>
  </si>
  <si>
    <t>5niKP6J4x1M</t>
  </si>
  <si>
    <t>s7FXSFFniWQ</t>
  </si>
  <si>
    <t>VG5xdgxjtOY</t>
  </si>
  <si>
    <t>eAlZy7yf-Rg</t>
  </si>
  <si>
    <t>jraM0kEMsug</t>
  </si>
  <si>
    <t>gKp9t-K7XyM</t>
  </si>
  <si>
    <t>es5uRydhfHM</t>
  </si>
  <si>
    <t>iqtwooX8aOs</t>
  </si>
  <si>
    <t>g1MkRBDuM1Y</t>
  </si>
  <si>
    <t>HoQk9CSSGQ8</t>
  </si>
  <si>
    <t>WYRdgAT-1_4</t>
  </si>
  <si>
    <t>EZQq-1W2OFI</t>
  </si>
  <si>
    <t>kjtisRDYObI</t>
  </si>
  <si>
    <t>rBpprJN516A</t>
  </si>
  <si>
    <t>6Abaq6wvgj4</t>
  </si>
  <si>
    <t>EbFvuOIsiz4</t>
  </si>
  <si>
    <t>CEFFm50USgA</t>
  </si>
  <si>
    <t>fgGQI_r_J_g</t>
  </si>
  <si>
    <t>ztWEL1bTlbM</t>
  </si>
  <si>
    <t>zGco7Hs6byo</t>
  </si>
  <si>
    <t>lIvffVAoMsk</t>
  </si>
  <si>
    <t>ahT-pQ9lmQU</t>
  </si>
  <si>
    <t>FR12MV9gkz4</t>
  </si>
  <si>
    <t>Z8d3Y96BDOo</t>
  </si>
  <si>
    <t>xp_O1pflcZ4</t>
  </si>
  <si>
    <t>SGnQL8q-uwM</t>
  </si>
  <si>
    <t>dU2FMQWa-30</t>
  </si>
  <si>
    <t>xEBPAhz1X-8</t>
  </si>
  <si>
    <t>ImZkkZI4A70</t>
  </si>
  <si>
    <t>YgVKWwAv9FA</t>
  </si>
  <si>
    <t>GgzwLW2je8A</t>
  </si>
  <si>
    <t>Book Q No</t>
  </si>
  <si>
    <t>Question</t>
  </si>
  <si>
    <t>Type</t>
  </si>
  <si>
    <t>Primary Solution</t>
  </si>
  <si>
    <t>All Solution Path(s)</t>
  </si>
  <si>
    <t>Primary Exists</t>
  </si>
  <si>
    <t>Yes</t>
  </si>
  <si>
    <t>qa/pdf_q07_q11/q09_ff_reset_styles.v</t>
  </si>
  <si>
    <t>qa/pdf_q07_q11/q10_latch_and_flop.v</t>
  </si>
  <si>
    <t>qa/pdf_q07_q11/q11_edge_detect.v</t>
  </si>
  <si>
    <t>qa/pdf_q12_q18/q14_last5_detect_10110.v</t>
  </si>
  <si>
    <t>qa/pdf_q12_q18/q15_start_and_chipselects.v</t>
  </si>
  <si>
    <t>qa/pdf_q12_q18/q17_gray_counter_methods.v</t>
  </si>
  <si>
    <t>qa/pdf_q12_q18/q18_fifo_sync_dualport.v</t>
  </si>
  <si>
    <t>qa/pdf_q19_q20/q19_divisible_by3_fsm.v</t>
  </si>
  <si>
    <t>qa/pdf_q19_q20/q20_fibonacci_enable.v</t>
  </si>
  <si>
    <t>qa/pdf_q21/q21_max_and_second_max_onecmp.v</t>
  </si>
  <si>
    <t>qa/pdf_q22_q23/q22_time_ticks.v</t>
  </si>
  <si>
    <t>qa/pdf_q22_q23/q23_timing_b_from_a.v</t>
  </si>
  <si>
    <t>qa/pdf_q24/q24_fir_5tap.v</t>
  </si>
  <si>
    <t>qa/pdf_q25_q26/q25_clock_div2.v</t>
  </si>
  <si>
    <t>qa/pdf_q25_q26/q26_clock_div3_duty50.v</t>
  </si>
  <si>
    <t>qa/pdf_q27/q27_clock_div_n.v</t>
  </si>
  <si>
    <t>qa/pdf_q28_q30/q28_glitch_free_clock_gate.v</t>
  </si>
  <si>
    <t>qa/pdf_q28_q30/q29_async_rise_detect_when_clocks_off.v</t>
  </si>
  <si>
    <t>qa/pdf_q28_q30/q30_reset_synchronizer.v</t>
  </si>
  <si>
    <t>Verilog Course + Book Study Sequence Tracker</t>
  </si>
  <si>
    <t>Generated on</t>
  </si>
  <si>
    <t>Source assumptions</t>
  </si>
  <si>
    <t>Playlist metadata fetched from YouTube on 2026-06-21; repo/book rows are README PDF Questions 1-34 only.</t>
  </si>
  <si>
    <t>Playlist</t>
  </si>
  <si>
    <t>Verilog HDL complete course</t>
  </si>
  <si>
    <t>Playlist URL</t>
  </si>
  <si>
    <t>https://www.youtube.com/playlist?list=PLqPfWwayuBvPYYQS2h5p622vGR6aZIfux</t>
  </si>
  <si>
    <t>Total planned rows</t>
  </si>
  <si>
    <t>How to use</t>
  </si>
  <si>
    <t>Work top to bottom. Update Status, write your own notes in What I Learnt, and use Output File as the place to write or revise.</t>
  </si>
  <si>
    <t>Video rows</t>
  </si>
  <si>
    <t>Status rule</t>
  </si>
  <si>
    <t>Done = already covered; Next = start here; Not Started = queued; In Progress/Review/Blocked are for your tracking.</t>
  </si>
  <si>
    <t>Book/repo rows</t>
  </si>
  <si>
    <t>Link rule</t>
  </si>
  <si>
    <t>Open Link is clickable. Exact URL / Solution Path(s) keeps the real URL/path visible for audit.</t>
  </si>
  <si>
    <t>Done rows</t>
  </si>
  <si>
    <t>Important</t>
  </si>
  <si>
    <t>Notebook Theory Questions 31-56 were not included because you specifically pointed to the 34-row PDF question list.</t>
  </si>
  <si>
    <t>Remaining rows</t>
  </si>
  <si>
    <t>Recommended first action</t>
  </si>
  <si>
    <t>Start with Video 03 because it directly attacks the module-level net/reg confusion from today.</t>
  </si>
  <si>
    <t>study_plan/practice/video_04_gate_level_modeling_practice.v</t>
  </si>
  <si>
    <t>study_plan/practice/video_05_full_adder_using_half_adder_practice.v</t>
  </si>
  <si>
    <t>study_plan/practice/video_06_bcd_ripple_carry_adder_practice.v</t>
  </si>
  <si>
    <t>study_plan/practice/video_07_2bit_comparator_gate_level_practice.v</t>
  </si>
  <si>
    <t>study_plan/practice/video_08_behavioral_modeling_practice.v</t>
  </si>
  <si>
    <t>study_plan/practice/video_09_bitwise_relational_equality_operators_practice.v</t>
  </si>
  <si>
    <t>study_plan/practice/video_10_logical_shift_concatenation_practice.v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</si>
</sst>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Calibri"/>
    </font>
    <font>
      <sz val="11"/>
      <color rgb="FF008000"/>
      <name val="Calibri"/>
    </font>
    <font>
      <sz val="11"/>
      <color theme="10"/>
      <name val="Calibri"/>
    </font>
    <font>
      <sz val="11"/>
      <color rgb="FF00AAEE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FF99"/>
      </patternFill>
    </fill>
    <fill>
      <patternFill patternType="solid">
        <fgColor rgb="FFF3F3F3"/>
      </patternFill>
    </fill>
    <fill>
      <patternFill patternType="solid">
        <fgColor rgb="FF002060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5" fillId="4" borderId="8" xfId="0" applyFont="1" applyFill="1" applyBorder="1" applyAlignment="1">
      <alignment vertical="top" wrapText="1"/>
    </xf>
    <xf numFmtId="0" fontId="3" fillId="0" borderId="8" xfId="1" applyBorder="1" applyAlignment="1">
      <alignment vertical="top" wrapText="1"/>
    </xf>
    <xf numFmtId="0" fontId="0" fillId="0" borderId="9" xfId="0" applyBorder="1" applyAlignment="1">
      <alignment vertical="top" wrapText="1"/>
    </xf>
    <xf numFmtId="46" fontId="0" fillId="0" borderId="1" xfId="0" applyNumberFormat="1" applyBorder="1" applyAlignment="1">
      <alignment vertical="top" wrapText="1"/>
    </xf>
    <xf numFmtId="20" fontId="0" fillId="0" borderId="1" xfId="0" applyNumberFormat="1" applyBorder="1" applyAlignment="1">
      <alignment vertical="top" wrapText="1"/>
    </xf>
    <xf numFmtId="20" fontId="0" fillId="0" borderId="8" xfId="0" applyNumberFormat="1" applyBorder="1" applyAlignment="1">
      <alignment vertical="top" wrapText="1"/>
    </xf>
    <xf numFmtId="0" fontId="3" fillId="0" borderId="1" xfId="1" applyFill="1" applyBorder="1" applyAlignment="1">
      <alignment vertical="top" wrapText="1"/>
    </xf>
    <xf numFmtId="0" fontId="3" fillId="0" borderId="8" xfId="1" applyFill="1" applyBorder="1" applyAlignment="1">
      <alignment vertical="top" wrapText="1"/>
    </xf>
    <xf numFmtId="0" fontId="1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1"/>
    <xf numFmtId="0" fontId="8" fillId="0" borderId="0" xfId="0" applyFont="1"/>
    <xf numFmtId="0" fontId="7" fillId="5" borderId="0" xfId="0" applyFont="1" applyFill="1"/>
    <xf numFmtId="0" fontId="0" fillId="0" borderId="0" xfId="0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ySequenceTable" displayName="StudySequenceTable" ref="A1:M74">
  <autoFilter ref="A1:M74" xr:uid="{00000000-0009-0000-0100-000001000000}"/>
  <tableColumns count="13">
    <tableColumn id="1" xr3:uid="{00000000-0010-0000-0000-000001000000}" name="Sr No"/>
    <tableColumn id="2" xr3:uid="{00000000-0010-0000-0000-000002000000}" name="Phase"/>
    <tableColumn id="3" xr3:uid="{00000000-0010-0000-0000-000003000000}" name="Source"/>
    <tableColumn id="4" xr3:uid="{00000000-0010-0000-0000-000004000000}" name="Source No"/>
    <tableColumn id="5" xr3:uid="{00000000-0010-0000-0000-000005000000}" name="Item / Question Name"/>
    <tableColumn id="6" xr3:uid="{00000000-0010-0000-0000-000006000000}" name="Work Type"/>
    <tableColumn id="7" xr3:uid="{00000000-0010-0000-0000-000007000000}" name="Status"/>
    <tableColumn id="8" xr3:uid="{00000000-0010-0000-0000-000008000000}" name="Open Link"/>
    <tableColumn id="9" xr3:uid="{00000000-0010-0000-0000-000009000000}" name="Exact URL / Solution Path(s)"/>
    <tableColumn id="10" xr3:uid="{00000000-0010-0000-0000-00000A000000}" name="Personal Observation / Why Now"/>
    <tableColumn id="11" xr3:uid="{00000000-0010-0000-0000-00000B000000}" name="What I Learnt"/>
    <tableColumn id="12" xr3:uid="{00000000-0010-0000-0000-00000C000000}" name="Output File / Where To Write"/>
    <tableColumn id="13" xr3:uid="{00000000-0010-0000-0000-00000D000000}" name="Next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deoPlaylistTable" displayName="VideoPlaylistTable" ref="A1:F40">
  <autoFilter ref="A1:F40" xr:uid="{00000000-0009-0000-0100-000002000000}"/>
  <tableColumns count="6">
    <tableColumn id="1" xr3:uid="{00000000-0010-0000-0100-000001000000}" name="Video No"/>
    <tableColumn id="2" xr3:uid="{00000000-0010-0000-0100-000002000000}" name="Title"/>
    <tableColumn id="3" xr3:uid="{00000000-0010-0000-0100-000003000000}" name="Duration"/>
    <tableColumn id="4" xr3:uid="{00000000-0010-0000-0100-000004000000}" name="Status"/>
    <tableColumn id="5" xr3:uid="{00000000-0010-0000-0100-000005000000}" name="Exact Link"/>
    <tableColumn id="6" xr3:uid="{00000000-0010-0000-0100-000006000000}" name="Video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QuestionsTable" displayName="RepoQuestionsTable" ref="A1:F35">
  <autoFilter ref="A1:F35" xr:uid="{00000000-0009-0000-0100-000003000000}"/>
  <tableColumns count="6">
    <tableColumn id="1" xr3:uid="{00000000-0010-0000-0200-000001000000}" name="Book Q No"/>
    <tableColumn id="2" xr3:uid="{00000000-0010-0000-0200-000002000000}" name="Question"/>
    <tableColumn id="3" xr3:uid="{00000000-0010-0000-0200-000003000000}" name="Type"/>
    <tableColumn id="4" xr3:uid="{00000000-0010-0000-0200-000004000000}" name="Primary Solution"/>
    <tableColumn id="5" xr3:uid="{00000000-0010-0000-0200-000005000000}" name="All Solution Path(s)"/>
    <tableColumn id="6" xr3:uid="{00000000-0010-0000-0200-000006000000}" name="Primary Exi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notes/pdf_q08_q11_theory.md" TargetMode="External"/><Relationship Id="rId21" Type="http://schemas.openxmlformats.org/officeDocument/2006/relationships/hyperlink" Target="../qa/pdf_q03_q06/q03_logic_gates.v" TargetMode="External"/><Relationship Id="rId42" Type="http://schemas.openxmlformats.org/officeDocument/2006/relationships/hyperlink" Target="https://www.youtube.com/watch?v=ahT-pQ9lmQU&amp;list=PLqPfWwayuBvPYYQS2h5p622vGR6aZIfux&amp;index=30" TargetMode="External"/><Relationship Id="rId47" Type="http://schemas.openxmlformats.org/officeDocument/2006/relationships/hyperlink" Target="../qa/pdf_q12_q18/q14_last5_detect_10110.v" TargetMode="External"/><Relationship Id="rId63" Type="http://schemas.openxmlformats.org/officeDocument/2006/relationships/hyperlink" Target="../qa/pdf_q28_q30/q30_reset_synchronizer.v" TargetMode="External"/><Relationship Id="rId68" Type="http://schemas.openxmlformats.org/officeDocument/2006/relationships/hyperlink" Target="https://www.youtube.com/watch?v=SGnQL8q-uwM&amp;list=PLqPfWwayuBvPYYQS2h5p622vGR6aZIfux&amp;index=34" TargetMode="External"/><Relationship Id="rId2" Type="http://schemas.openxmlformats.org/officeDocument/2006/relationships/hyperlink" Target="https://www.youtube.com/watch?v=R57WWiEqkLQ&amp;list=PLqPfWwayuBvPYYQS2h5p622vGR6aZIfux&amp;index=2" TargetMode="External"/><Relationship Id="rId16" Type="http://schemas.openxmlformats.org/officeDocument/2006/relationships/hyperlink" Target="../notes/pdf_q01_q02_theory.md" TargetMode="External"/><Relationship Id="rId29" Type="http://schemas.openxmlformats.org/officeDocument/2006/relationships/hyperlink" Target="https://www.youtube.com/watch?v=kjtisRDYObI&amp;list=PLqPfWwayuBvPYYQS2h5p622vGR6aZIfux&amp;index=21" TargetMode="External"/><Relationship Id="rId11" Type="http://schemas.openxmlformats.org/officeDocument/2006/relationships/hyperlink" Target="https://www.youtube.com/watch?v=VG5xdgxjtOY&amp;list=PLqPfWwayuBvPYYQS2h5p622vGR6aZIfux&amp;index=11" TargetMode="External"/><Relationship Id="rId24" Type="http://schemas.openxmlformats.org/officeDocument/2006/relationships/hyperlink" Target="../qa/pdf_q03_q06/q06_sign_extension.v" TargetMode="External"/><Relationship Id="rId32" Type="http://schemas.openxmlformats.org/officeDocument/2006/relationships/hyperlink" Target="https://www.youtube.com/watch?v=rBpprJN516A&amp;list=PLqPfWwayuBvPYYQS2h5p622vGR6aZIfux&amp;index=22" TargetMode="External"/><Relationship Id="rId37" Type="http://schemas.openxmlformats.org/officeDocument/2006/relationships/hyperlink" Target="../qa/pdf_q07_q11/q11_edge_detect.v" TargetMode="External"/><Relationship Id="rId40" Type="http://schemas.openxmlformats.org/officeDocument/2006/relationships/hyperlink" Target="https://www.youtube.com/watch?v=zGco7Hs6byo&amp;list=PLqPfWwayuBvPYYQS2h5p622vGR6aZIfux&amp;index=28" TargetMode="External"/><Relationship Id="rId45" Type="http://schemas.openxmlformats.org/officeDocument/2006/relationships/hyperlink" Target="https://www.youtube.com/watch?v=xp_O1pflcZ4&amp;list=PLqPfWwayuBvPYYQS2h5p622vGR6aZIfux&amp;index=33" TargetMode="External"/><Relationship Id="rId53" Type="http://schemas.openxmlformats.org/officeDocument/2006/relationships/hyperlink" Target="../qa/pdf_q19_q20/q20_fibonacci_enable.v" TargetMode="External"/><Relationship Id="rId58" Type="http://schemas.openxmlformats.org/officeDocument/2006/relationships/hyperlink" Target="../qa/pdf_q25_q26/q25_clock_div2.v" TargetMode="External"/><Relationship Id="rId66" Type="http://schemas.openxmlformats.org/officeDocument/2006/relationships/hyperlink" Target="../frequency_division/f_div_5_all_duty_cycles.md" TargetMode="External"/><Relationship Id="rId74" Type="http://schemas.openxmlformats.org/officeDocument/2006/relationships/table" Target="../tables/table1.xml"/><Relationship Id="rId5" Type="http://schemas.openxmlformats.org/officeDocument/2006/relationships/hyperlink" Target="https://www.youtube.com/watch?v=VbtIJPZhXLo&amp;list=PLqPfWwayuBvPYYQS2h5p622vGR6aZIfux&amp;index=5" TargetMode="External"/><Relationship Id="rId61" Type="http://schemas.openxmlformats.org/officeDocument/2006/relationships/hyperlink" Target="../qa/pdf_q28_q30/q28_glitch_free_clock_gate.v" TargetMode="External"/><Relationship Id="rId19" Type="http://schemas.openxmlformats.org/officeDocument/2006/relationships/hyperlink" Target="https://www.youtube.com/watch?v=g1MkRBDuM1Y&amp;list=PLqPfWwayuBvPYYQS2h5p622vGR6aZIfux&amp;index=17" TargetMode="External"/><Relationship Id="rId14" Type="http://schemas.openxmlformats.org/officeDocument/2006/relationships/hyperlink" Target="https://www.youtube.com/watch?v=gKp9t-K7XyM&amp;list=PLqPfWwayuBvPYYQS2h5p622vGR6aZIfux&amp;index=14" TargetMode="External"/><Relationship Id="rId22" Type="http://schemas.openxmlformats.org/officeDocument/2006/relationships/hyperlink" Target="../qa/pdf_q03_q06/q04_bitwise_reduction.v" TargetMode="External"/><Relationship Id="rId27" Type="http://schemas.openxmlformats.org/officeDocument/2006/relationships/hyperlink" Target="https://www.youtube.com/watch?v=WYRdgAT-1_4&amp;list=PLqPfWwayuBvPYYQS2h5p622vGR6aZIfux&amp;index=19" TargetMode="External"/><Relationship Id="rId30" Type="http://schemas.openxmlformats.org/officeDocument/2006/relationships/hyperlink" Target="../qa/pdf_q07_q11/q09_ff_reset_styles.v" TargetMode="External"/><Relationship Id="rId35" Type="http://schemas.openxmlformats.org/officeDocument/2006/relationships/hyperlink" Target="https://www.youtube.com/watch?v=CEFFm50USgA&amp;list=PLqPfWwayuBvPYYQS2h5p622vGR6aZIfux&amp;index=25" TargetMode="External"/><Relationship Id="rId43" Type="http://schemas.openxmlformats.org/officeDocument/2006/relationships/hyperlink" Target="https://www.youtube.com/watch?v=FR12MV9gkz4&amp;list=PLqPfWwayuBvPYYQS2h5p622vGR6aZIfux&amp;index=31" TargetMode="External"/><Relationship Id="rId48" Type="http://schemas.openxmlformats.org/officeDocument/2006/relationships/hyperlink" Target="../qa/pdf_q12_q18/q15_start_and_chipselects.v" TargetMode="External"/><Relationship Id="rId56" Type="http://schemas.openxmlformats.org/officeDocument/2006/relationships/hyperlink" Target="../qa/pdf_q22_q23/q23_timing_b_from_a.v" TargetMode="External"/><Relationship Id="rId64" Type="http://schemas.openxmlformats.org/officeDocument/2006/relationships/hyperlink" Target="../qa/pdf_q31/q31_async_fifo_grayptr.v" TargetMode="External"/><Relationship Id="rId69" Type="http://schemas.openxmlformats.org/officeDocument/2006/relationships/hyperlink" Target="https://www.youtube.com/watch?v=dU2FMQWa-30&amp;list=PLqPfWwayuBvPYYQS2h5p622vGR6aZIfux&amp;index=35" TargetMode="External"/><Relationship Id="rId8" Type="http://schemas.openxmlformats.org/officeDocument/2006/relationships/hyperlink" Target="https://www.youtube.com/watch?v=dTCiUa-s2YE&amp;list=PLqPfWwayuBvPYYQS2h5p622vGR6aZIfux&amp;index=8" TargetMode="External"/><Relationship Id="rId51" Type="http://schemas.openxmlformats.org/officeDocument/2006/relationships/hyperlink" Target="../qa/pdf_q12_q18/q18_fifo_sync_dualport.v" TargetMode="External"/><Relationship Id="rId72" Type="http://schemas.openxmlformats.org/officeDocument/2006/relationships/hyperlink" Target="https://www.youtube.com/watch?v=YgVKWwAv9FA&amp;list=PLqPfWwayuBvPYYQS2h5p622vGR6aZIfux&amp;index=38" TargetMode="External"/><Relationship Id="rId3" Type="http://schemas.openxmlformats.org/officeDocument/2006/relationships/hyperlink" Target="https://www.youtube.com/watch?v=C219U48xX04&amp;list=PLqPfWwayuBvPYYQS2h5p622vGR6aZIfux&amp;index=3" TargetMode="External"/><Relationship Id="rId12" Type="http://schemas.openxmlformats.org/officeDocument/2006/relationships/hyperlink" Target="https://www.youtube.com/watch?v=eAlZy7yf-Rg&amp;list=PLqPfWwayuBvPYYQS2h5p622vGR6aZIfux&amp;index=12" TargetMode="External"/><Relationship Id="rId17" Type="http://schemas.openxmlformats.org/officeDocument/2006/relationships/hyperlink" Target="https://www.youtube.com/watch?v=es5uRydhfHM&amp;list=PLqPfWwayuBvPYYQS2h5p622vGR6aZIfux&amp;index=15" TargetMode="External"/><Relationship Id="rId25" Type="http://schemas.openxmlformats.org/officeDocument/2006/relationships/hyperlink" Target="../qa/pdf_q07_q11/q07_mux4_styles.v" TargetMode="External"/><Relationship Id="rId33" Type="http://schemas.openxmlformats.org/officeDocument/2006/relationships/hyperlink" Target="https://www.youtube.com/watch?v=6Abaq6wvgj4&amp;list=PLqPfWwayuBvPYYQS2h5p622vGR6aZIfux&amp;index=23" TargetMode="External"/><Relationship Id="rId38" Type="http://schemas.openxmlformats.org/officeDocument/2006/relationships/hyperlink" Target="../qa/pdf_q12_q18/q12_one_cycle_pulse_detect.v" TargetMode="External"/><Relationship Id="rId46" Type="http://schemas.openxmlformats.org/officeDocument/2006/relationships/hyperlink" Target="../qa/pdf_q12_q18/q13_seq_10110_fsms_abcd.v" TargetMode="External"/><Relationship Id="rId59" Type="http://schemas.openxmlformats.org/officeDocument/2006/relationships/hyperlink" Target="../qa/pdf_q25_q26/q26_clock_div3_duty50.v" TargetMode="External"/><Relationship Id="rId67" Type="http://schemas.openxmlformats.org/officeDocument/2006/relationships/hyperlink" Target="../frequency_division/f_div_7_all_duty_cycles.md" TargetMode="External"/><Relationship Id="rId20" Type="http://schemas.openxmlformats.org/officeDocument/2006/relationships/hyperlink" Target="https://www.youtube.com/watch?v=HoQk9CSSGQ8&amp;list=PLqPfWwayuBvPYYQS2h5p622vGR6aZIfux&amp;index=18" TargetMode="External"/><Relationship Id="rId41" Type="http://schemas.openxmlformats.org/officeDocument/2006/relationships/hyperlink" Target="https://www.youtube.com/watch?v=lIvffVAoMsk&amp;list=PLqPfWwayuBvPYYQS2h5p622vGR6aZIfux&amp;index=29" TargetMode="External"/><Relationship Id="rId54" Type="http://schemas.openxmlformats.org/officeDocument/2006/relationships/hyperlink" Target="../qa/pdf_q21/q21_max_and_second_max_onecmp.v" TargetMode="External"/><Relationship Id="rId62" Type="http://schemas.openxmlformats.org/officeDocument/2006/relationships/hyperlink" Target="../qa/pdf_q28_q30/q29_async_rise_detect_when_clocks_off.v" TargetMode="External"/><Relationship Id="rId70" Type="http://schemas.openxmlformats.org/officeDocument/2006/relationships/hyperlink" Target="https://www.youtube.com/watch?v=xEBPAhz1X-8&amp;list=PLqPfWwayuBvPYYQS2h5p622vGR6aZIfux&amp;index=36" TargetMode="External"/><Relationship Id="rId1" Type="http://schemas.openxmlformats.org/officeDocument/2006/relationships/hyperlink" Target="https://www.youtube.com/watch?v=IP_8QJ5k2I8&amp;list=PLqPfWwayuBvPYYQS2h5p622vGR6aZIfux&amp;index=1" TargetMode="External"/><Relationship Id="rId6" Type="http://schemas.openxmlformats.org/officeDocument/2006/relationships/hyperlink" Target="https://www.youtube.com/watch?v=_dqCK0T3d8E&amp;list=PLqPfWwayuBvPYYQS2h5p622vGR6aZIfux&amp;index=6" TargetMode="External"/><Relationship Id="rId15" Type="http://schemas.openxmlformats.org/officeDocument/2006/relationships/hyperlink" Target="../notes/pdf_q01_q02_theory.md" TargetMode="External"/><Relationship Id="rId23" Type="http://schemas.openxmlformats.org/officeDocument/2006/relationships/hyperlink" Target="../qa/pdf_q03_q06/q05_shift_operations.v" TargetMode="External"/><Relationship Id="rId28" Type="http://schemas.openxmlformats.org/officeDocument/2006/relationships/hyperlink" Target="https://www.youtube.com/watch?v=EZQq-1W2OFI&amp;list=PLqPfWwayuBvPYYQS2h5p622vGR6aZIfux&amp;index=20" TargetMode="External"/><Relationship Id="rId36" Type="http://schemas.openxmlformats.org/officeDocument/2006/relationships/hyperlink" Target="https://www.youtube.com/watch?v=fgGQI_r_J_g&amp;list=PLqPfWwayuBvPYYQS2h5p622vGR6aZIfux&amp;index=26" TargetMode="External"/><Relationship Id="rId49" Type="http://schemas.openxmlformats.org/officeDocument/2006/relationships/hyperlink" Target="../qa/pdf_q12_q18/q16_sync_debounce_onepulse.v" TargetMode="External"/><Relationship Id="rId57" Type="http://schemas.openxmlformats.org/officeDocument/2006/relationships/hyperlink" Target="../qa/pdf_q24/q24_fir_5tap.v" TargetMode="External"/><Relationship Id="rId10" Type="http://schemas.openxmlformats.org/officeDocument/2006/relationships/hyperlink" Target="https://www.youtube.com/watch?v=s7FXSFFniWQ&amp;list=PLqPfWwayuBvPYYQS2h5p622vGR6aZIfux&amp;index=10" TargetMode="External"/><Relationship Id="rId31" Type="http://schemas.openxmlformats.org/officeDocument/2006/relationships/hyperlink" Target="../qa/pdf_q07_q11/q10_latch_and_flop.v" TargetMode="External"/><Relationship Id="rId44" Type="http://schemas.openxmlformats.org/officeDocument/2006/relationships/hyperlink" Target="https://www.youtube.com/watch?v=Z8d3Y96BDOo&amp;list=PLqPfWwayuBvPYYQS2h5p622vGR6aZIfux&amp;index=32" TargetMode="External"/><Relationship Id="rId52" Type="http://schemas.openxmlformats.org/officeDocument/2006/relationships/hyperlink" Target="../qa/pdf_q19_q20/q19_divisible_by3_fsm.v" TargetMode="External"/><Relationship Id="rId60" Type="http://schemas.openxmlformats.org/officeDocument/2006/relationships/hyperlink" Target="../qa/pdf_q27/q27_clock_div_n.v" TargetMode="External"/><Relationship Id="rId65" Type="http://schemas.openxmlformats.org/officeDocument/2006/relationships/hyperlink" Target="../frequency_division/f_div_3_all_duty_cycles.md" TargetMode="External"/><Relationship Id="rId73" Type="http://schemas.openxmlformats.org/officeDocument/2006/relationships/hyperlink" Target="https://www.youtube.com/watch?v=GgzwLW2je8A&amp;list=PLqPfWwayuBvPYYQS2h5p622vGR6aZIfux&amp;index=39" TargetMode="External"/><Relationship Id="rId4" Type="http://schemas.openxmlformats.org/officeDocument/2006/relationships/hyperlink" Target="https://www.youtube.com/watch?v=c-qxVcc-FbI&amp;list=PLqPfWwayuBvPYYQS2h5p622vGR6aZIfux&amp;index=4" TargetMode="External"/><Relationship Id="rId9" Type="http://schemas.openxmlformats.org/officeDocument/2006/relationships/hyperlink" Target="https://www.youtube.com/watch?v=5niKP6J4x1M&amp;list=PLqPfWwayuBvPYYQS2h5p622vGR6aZIfux&amp;index=9" TargetMode="External"/><Relationship Id="rId13" Type="http://schemas.openxmlformats.org/officeDocument/2006/relationships/hyperlink" Target="https://www.youtube.com/watch?v=jraM0kEMsug&amp;list=PLqPfWwayuBvPYYQS2h5p622vGR6aZIfux&amp;index=13" TargetMode="External"/><Relationship Id="rId18" Type="http://schemas.openxmlformats.org/officeDocument/2006/relationships/hyperlink" Target="https://www.youtube.com/watch?v=iqtwooX8aOs&amp;list=PLqPfWwayuBvPYYQS2h5p622vGR6aZIfux&amp;index=16" TargetMode="External"/><Relationship Id="rId39" Type="http://schemas.openxmlformats.org/officeDocument/2006/relationships/hyperlink" Target="https://www.youtube.com/watch?v=ztWEL1bTlbM&amp;list=PLqPfWwayuBvPYYQS2h5p622vGR6aZIfux&amp;index=27" TargetMode="External"/><Relationship Id="rId34" Type="http://schemas.openxmlformats.org/officeDocument/2006/relationships/hyperlink" Target="https://www.youtube.com/watch?v=EbFvuOIsiz4&amp;list=PLqPfWwayuBvPYYQS2h5p622vGR6aZIfux&amp;index=24" TargetMode="External"/><Relationship Id="rId50" Type="http://schemas.openxmlformats.org/officeDocument/2006/relationships/hyperlink" Target="../qa/pdf_q12_q18/q17_gray_counter_methods.v" TargetMode="External"/><Relationship Id="rId55" Type="http://schemas.openxmlformats.org/officeDocument/2006/relationships/hyperlink" Target="../qa/pdf_q22_q23/q22_time_ticks.v" TargetMode="External"/><Relationship Id="rId7" Type="http://schemas.openxmlformats.org/officeDocument/2006/relationships/hyperlink" Target="https://www.youtube.com/watch?v=7r6BRVTjStc&amp;list=PLqPfWwayuBvPYYQS2h5p622vGR6aZIfux&amp;index=7" TargetMode="External"/><Relationship Id="rId71" Type="http://schemas.openxmlformats.org/officeDocument/2006/relationships/hyperlink" Target="https://www.youtube.com/watch?v=ImZkkZI4A70&amp;list=PLqPfWwayuBvPYYQS2h5p622vGR6aZIfux&amp;index=37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jraM0kEMsug&amp;list=PLqPfWwayuBvPYYQS2h5p622vGR6aZIfux&amp;index=13" TargetMode="External"/><Relationship Id="rId18" Type="http://schemas.openxmlformats.org/officeDocument/2006/relationships/hyperlink" Target="https://www.youtube.com/watch?v=HoQk9CSSGQ8&amp;list=PLqPfWwayuBvPYYQS2h5p622vGR6aZIfux&amp;index=18" TargetMode="External"/><Relationship Id="rId26" Type="http://schemas.openxmlformats.org/officeDocument/2006/relationships/hyperlink" Target="https://www.youtube.com/watch?v=fgGQI_r_J_g&amp;list=PLqPfWwayuBvPYYQS2h5p622vGR6aZIfux&amp;index=26" TargetMode="External"/><Relationship Id="rId39" Type="http://schemas.openxmlformats.org/officeDocument/2006/relationships/hyperlink" Target="https://www.youtube.com/watch?v=GgzwLW2je8A&amp;list=PLqPfWwayuBvPYYQS2h5p622vGR6aZIfux&amp;index=39" TargetMode="External"/><Relationship Id="rId21" Type="http://schemas.openxmlformats.org/officeDocument/2006/relationships/hyperlink" Target="https://www.youtube.com/watch?v=kjtisRDYObI&amp;list=PLqPfWwayuBvPYYQS2h5p622vGR6aZIfux&amp;index=21" TargetMode="External"/><Relationship Id="rId34" Type="http://schemas.openxmlformats.org/officeDocument/2006/relationships/hyperlink" Target="https://www.youtube.com/watch?v=SGnQL8q-uwM&amp;list=PLqPfWwayuBvPYYQS2h5p622vGR6aZIfux&amp;index=34" TargetMode="External"/><Relationship Id="rId7" Type="http://schemas.openxmlformats.org/officeDocument/2006/relationships/hyperlink" Target="https://www.youtube.com/watch?v=7r6BRVTjStc&amp;list=PLqPfWwayuBvPYYQS2h5p622vGR6aZIfux&amp;index=7" TargetMode="External"/><Relationship Id="rId12" Type="http://schemas.openxmlformats.org/officeDocument/2006/relationships/hyperlink" Target="https://www.youtube.com/watch?v=eAlZy7yf-Rg&amp;list=PLqPfWwayuBvPYYQS2h5p622vGR6aZIfux&amp;index=12" TargetMode="External"/><Relationship Id="rId17" Type="http://schemas.openxmlformats.org/officeDocument/2006/relationships/hyperlink" Target="https://www.youtube.com/watch?v=g1MkRBDuM1Y&amp;list=PLqPfWwayuBvPYYQS2h5p622vGR6aZIfux&amp;index=17" TargetMode="External"/><Relationship Id="rId25" Type="http://schemas.openxmlformats.org/officeDocument/2006/relationships/hyperlink" Target="https://www.youtube.com/watch?v=CEFFm50USgA&amp;list=PLqPfWwayuBvPYYQS2h5p622vGR6aZIfux&amp;index=25" TargetMode="External"/><Relationship Id="rId33" Type="http://schemas.openxmlformats.org/officeDocument/2006/relationships/hyperlink" Target="https://www.youtube.com/watch?v=xp_O1pflcZ4&amp;list=PLqPfWwayuBvPYYQS2h5p622vGR6aZIfux&amp;index=33" TargetMode="External"/><Relationship Id="rId38" Type="http://schemas.openxmlformats.org/officeDocument/2006/relationships/hyperlink" Target="https://www.youtube.com/watch?v=YgVKWwAv9FA&amp;list=PLqPfWwayuBvPYYQS2h5p622vGR6aZIfux&amp;index=38" TargetMode="External"/><Relationship Id="rId2" Type="http://schemas.openxmlformats.org/officeDocument/2006/relationships/hyperlink" Target="https://www.youtube.com/watch?v=R57WWiEqkLQ&amp;list=PLqPfWwayuBvPYYQS2h5p622vGR6aZIfux&amp;index=2" TargetMode="External"/><Relationship Id="rId16" Type="http://schemas.openxmlformats.org/officeDocument/2006/relationships/hyperlink" Target="https://www.youtube.com/watch?v=iqtwooX8aOs&amp;list=PLqPfWwayuBvPYYQS2h5p622vGR6aZIfux&amp;index=16" TargetMode="External"/><Relationship Id="rId20" Type="http://schemas.openxmlformats.org/officeDocument/2006/relationships/hyperlink" Target="https://www.youtube.com/watch?v=EZQq-1W2OFI&amp;list=PLqPfWwayuBvPYYQS2h5p622vGR6aZIfux&amp;index=20" TargetMode="External"/><Relationship Id="rId29" Type="http://schemas.openxmlformats.org/officeDocument/2006/relationships/hyperlink" Target="https://www.youtube.com/watch?v=lIvffVAoMsk&amp;list=PLqPfWwayuBvPYYQS2h5p622vGR6aZIfux&amp;index=29" TargetMode="External"/><Relationship Id="rId1" Type="http://schemas.openxmlformats.org/officeDocument/2006/relationships/hyperlink" Target="https://www.youtube.com/watch?v=IP_8QJ5k2I8&amp;list=PLqPfWwayuBvPYYQS2h5p622vGR6aZIfux&amp;index=1" TargetMode="External"/><Relationship Id="rId6" Type="http://schemas.openxmlformats.org/officeDocument/2006/relationships/hyperlink" Target="https://www.youtube.com/watch?v=_dqCK0T3d8E&amp;list=PLqPfWwayuBvPYYQS2h5p622vGR6aZIfux&amp;index=6" TargetMode="External"/><Relationship Id="rId11" Type="http://schemas.openxmlformats.org/officeDocument/2006/relationships/hyperlink" Target="https://www.youtube.com/watch?v=VG5xdgxjtOY&amp;list=PLqPfWwayuBvPYYQS2h5p622vGR6aZIfux&amp;index=11" TargetMode="External"/><Relationship Id="rId24" Type="http://schemas.openxmlformats.org/officeDocument/2006/relationships/hyperlink" Target="https://www.youtube.com/watch?v=EbFvuOIsiz4&amp;list=PLqPfWwayuBvPYYQS2h5p622vGR6aZIfux&amp;index=24" TargetMode="External"/><Relationship Id="rId32" Type="http://schemas.openxmlformats.org/officeDocument/2006/relationships/hyperlink" Target="https://www.youtube.com/watch?v=Z8d3Y96BDOo&amp;list=PLqPfWwayuBvPYYQS2h5p622vGR6aZIfux&amp;index=32" TargetMode="External"/><Relationship Id="rId37" Type="http://schemas.openxmlformats.org/officeDocument/2006/relationships/hyperlink" Target="https://www.youtube.com/watch?v=ImZkkZI4A70&amp;list=PLqPfWwayuBvPYYQS2h5p622vGR6aZIfux&amp;index=37" TargetMode="External"/><Relationship Id="rId40" Type="http://schemas.openxmlformats.org/officeDocument/2006/relationships/table" Target="../tables/table2.xml"/><Relationship Id="rId5" Type="http://schemas.openxmlformats.org/officeDocument/2006/relationships/hyperlink" Target="https://www.youtube.com/watch?v=VbtIJPZhXLo&amp;list=PLqPfWwayuBvPYYQS2h5p622vGR6aZIfux&amp;index=5" TargetMode="External"/><Relationship Id="rId15" Type="http://schemas.openxmlformats.org/officeDocument/2006/relationships/hyperlink" Target="https://www.youtube.com/watch?v=es5uRydhfHM&amp;list=PLqPfWwayuBvPYYQS2h5p622vGR6aZIfux&amp;index=15" TargetMode="External"/><Relationship Id="rId23" Type="http://schemas.openxmlformats.org/officeDocument/2006/relationships/hyperlink" Target="https://www.youtube.com/watch?v=6Abaq6wvgj4&amp;list=PLqPfWwayuBvPYYQS2h5p622vGR6aZIfux&amp;index=23" TargetMode="External"/><Relationship Id="rId28" Type="http://schemas.openxmlformats.org/officeDocument/2006/relationships/hyperlink" Target="https://www.youtube.com/watch?v=zGco7Hs6byo&amp;list=PLqPfWwayuBvPYYQS2h5p622vGR6aZIfux&amp;index=28" TargetMode="External"/><Relationship Id="rId36" Type="http://schemas.openxmlformats.org/officeDocument/2006/relationships/hyperlink" Target="https://www.youtube.com/watch?v=xEBPAhz1X-8&amp;list=PLqPfWwayuBvPYYQS2h5p622vGR6aZIfux&amp;index=36" TargetMode="External"/><Relationship Id="rId10" Type="http://schemas.openxmlformats.org/officeDocument/2006/relationships/hyperlink" Target="https://www.youtube.com/watch?v=s7FXSFFniWQ&amp;list=PLqPfWwayuBvPYYQS2h5p622vGR6aZIfux&amp;index=10" TargetMode="External"/><Relationship Id="rId19" Type="http://schemas.openxmlformats.org/officeDocument/2006/relationships/hyperlink" Target="https://www.youtube.com/watch?v=WYRdgAT-1_4&amp;list=PLqPfWwayuBvPYYQS2h5p622vGR6aZIfux&amp;index=19" TargetMode="External"/><Relationship Id="rId31" Type="http://schemas.openxmlformats.org/officeDocument/2006/relationships/hyperlink" Target="https://www.youtube.com/watch?v=FR12MV9gkz4&amp;list=PLqPfWwayuBvPYYQS2h5p622vGR6aZIfux&amp;index=31" TargetMode="External"/><Relationship Id="rId4" Type="http://schemas.openxmlformats.org/officeDocument/2006/relationships/hyperlink" Target="https://www.youtube.com/watch?v=c-qxVcc-FbI&amp;list=PLqPfWwayuBvPYYQS2h5p622vGR6aZIfux&amp;index=4" TargetMode="External"/><Relationship Id="rId9" Type="http://schemas.openxmlformats.org/officeDocument/2006/relationships/hyperlink" Target="https://www.youtube.com/watch?v=5niKP6J4x1M&amp;list=PLqPfWwayuBvPYYQS2h5p622vGR6aZIfux&amp;index=9" TargetMode="External"/><Relationship Id="rId14" Type="http://schemas.openxmlformats.org/officeDocument/2006/relationships/hyperlink" Target="https://www.youtube.com/watch?v=gKp9t-K7XyM&amp;list=PLqPfWwayuBvPYYQS2h5p622vGR6aZIfux&amp;index=14" TargetMode="External"/><Relationship Id="rId22" Type="http://schemas.openxmlformats.org/officeDocument/2006/relationships/hyperlink" Target="https://www.youtube.com/watch?v=rBpprJN516A&amp;list=PLqPfWwayuBvPYYQS2h5p622vGR6aZIfux&amp;index=22" TargetMode="External"/><Relationship Id="rId27" Type="http://schemas.openxmlformats.org/officeDocument/2006/relationships/hyperlink" Target="https://www.youtube.com/watch?v=ztWEL1bTlbM&amp;list=PLqPfWwayuBvPYYQS2h5p622vGR6aZIfux&amp;index=27" TargetMode="External"/><Relationship Id="rId30" Type="http://schemas.openxmlformats.org/officeDocument/2006/relationships/hyperlink" Target="https://www.youtube.com/watch?v=ahT-pQ9lmQU&amp;list=PLqPfWwayuBvPYYQS2h5p622vGR6aZIfux&amp;index=30" TargetMode="External"/><Relationship Id="rId35" Type="http://schemas.openxmlformats.org/officeDocument/2006/relationships/hyperlink" Target="https://www.youtube.com/watch?v=dU2FMQWa-30&amp;list=PLqPfWwayuBvPYYQS2h5p622vGR6aZIfux&amp;index=35" TargetMode="External"/><Relationship Id="rId8" Type="http://schemas.openxmlformats.org/officeDocument/2006/relationships/hyperlink" Target="https://www.youtube.com/watch?v=dTCiUa-s2YE&amp;list=PLqPfWwayuBvPYYQS2h5p622vGR6aZIfux&amp;index=8" TargetMode="External"/><Relationship Id="rId3" Type="http://schemas.openxmlformats.org/officeDocument/2006/relationships/hyperlink" Target="https://www.youtube.com/watch?v=C219U48xX04&amp;list=PLqPfWwayuBvPYYQS2h5p622vGR6aZIfux&amp;index=3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../qa/pdf_q12_q18/q13_seq_10110_fsms_abcd.v" TargetMode="External"/><Relationship Id="rId18" Type="http://schemas.openxmlformats.org/officeDocument/2006/relationships/hyperlink" Target="../qa/pdf_q12_q18/q18_fifo_sync_dualport.v" TargetMode="External"/><Relationship Id="rId26" Type="http://schemas.openxmlformats.org/officeDocument/2006/relationships/hyperlink" Target="../qa/pdf_q25_q26/q26_clock_div3_duty50.v" TargetMode="External"/><Relationship Id="rId3" Type="http://schemas.openxmlformats.org/officeDocument/2006/relationships/hyperlink" Target="../qa/pdf_q03_q06/q03_logic_gates.v" TargetMode="External"/><Relationship Id="rId21" Type="http://schemas.openxmlformats.org/officeDocument/2006/relationships/hyperlink" Target="../qa/pdf_q21/q21_max_and_second_max_onecmp.v" TargetMode="External"/><Relationship Id="rId34" Type="http://schemas.openxmlformats.org/officeDocument/2006/relationships/hyperlink" Target="../frequency_division/f_div_7_all_duty_cycles.md" TargetMode="External"/><Relationship Id="rId7" Type="http://schemas.openxmlformats.org/officeDocument/2006/relationships/hyperlink" Target="../qa/pdf_q07_q11/q07_mux4_styles.v" TargetMode="External"/><Relationship Id="rId12" Type="http://schemas.openxmlformats.org/officeDocument/2006/relationships/hyperlink" Target="../qa/pdf_q12_q18/q12_one_cycle_pulse_detect.v" TargetMode="External"/><Relationship Id="rId17" Type="http://schemas.openxmlformats.org/officeDocument/2006/relationships/hyperlink" Target="../qa/pdf_q12_q18/q17_gray_counter_methods.v" TargetMode="External"/><Relationship Id="rId25" Type="http://schemas.openxmlformats.org/officeDocument/2006/relationships/hyperlink" Target="../qa/pdf_q25_q26/q25_clock_div2.v" TargetMode="External"/><Relationship Id="rId33" Type="http://schemas.openxmlformats.org/officeDocument/2006/relationships/hyperlink" Target="../frequency_division/f_div_5_all_duty_cycles.md" TargetMode="External"/><Relationship Id="rId2" Type="http://schemas.openxmlformats.org/officeDocument/2006/relationships/hyperlink" Target="../notes/pdf_q01_q02_theory.md" TargetMode="External"/><Relationship Id="rId16" Type="http://schemas.openxmlformats.org/officeDocument/2006/relationships/hyperlink" Target="../qa/pdf_q12_q18/q16_sync_debounce_onepulse.v" TargetMode="External"/><Relationship Id="rId20" Type="http://schemas.openxmlformats.org/officeDocument/2006/relationships/hyperlink" Target="../qa/pdf_q19_q20/q20_fibonacci_enable.v" TargetMode="External"/><Relationship Id="rId29" Type="http://schemas.openxmlformats.org/officeDocument/2006/relationships/hyperlink" Target="../qa/pdf_q28_q30/q29_async_rise_detect_when_clocks_off.v" TargetMode="External"/><Relationship Id="rId1" Type="http://schemas.openxmlformats.org/officeDocument/2006/relationships/hyperlink" Target="../notes/pdf_q01_q02_theory.md" TargetMode="External"/><Relationship Id="rId6" Type="http://schemas.openxmlformats.org/officeDocument/2006/relationships/hyperlink" Target="../qa/pdf_q03_q06/q06_sign_extension.v" TargetMode="External"/><Relationship Id="rId11" Type="http://schemas.openxmlformats.org/officeDocument/2006/relationships/hyperlink" Target="../qa/pdf_q07_q11/q11_edge_detect.v" TargetMode="External"/><Relationship Id="rId24" Type="http://schemas.openxmlformats.org/officeDocument/2006/relationships/hyperlink" Target="../qa/pdf_q24/q24_fir_5tap.v" TargetMode="External"/><Relationship Id="rId32" Type="http://schemas.openxmlformats.org/officeDocument/2006/relationships/hyperlink" Target="../frequency_division/f_div_3_all_duty_cycles.md" TargetMode="External"/><Relationship Id="rId5" Type="http://schemas.openxmlformats.org/officeDocument/2006/relationships/hyperlink" Target="../qa/pdf_q03_q06/q05_shift_operations.v" TargetMode="External"/><Relationship Id="rId15" Type="http://schemas.openxmlformats.org/officeDocument/2006/relationships/hyperlink" Target="../qa/pdf_q12_q18/q15_start_and_chipselects.v" TargetMode="External"/><Relationship Id="rId23" Type="http://schemas.openxmlformats.org/officeDocument/2006/relationships/hyperlink" Target="../qa/pdf_q22_q23/q23_timing_b_from_a.v" TargetMode="External"/><Relationship Id="rId28" Type="http://schemas.openxmlformats.org/officeDocument/2006/relationships/hyperlink" Target="../qa/pdf_q28_q30/q28_glitch_free_clock_gate.v" TargetMode="External"/><Relationship Id="rId10" Type="http://schemas.openxmlformats.org/officeDocument/2006/relationships/hyperlink" Target="../qa/pdf_q07_q11/q10_latch_and_flop.v" TargetMode="External"/><Relationship Id="rId19" Type="http://schemas.openxmlformats.org/officeDocument/2006/relationships/hyperlink" Target="../qa/pdf_q19_q20/q19_divisible_by3_fsm.v" TargetMode="External"/><Relationship Id="rId31" Type="http://schemas.openxmlformats.org/officeDocument/2006/relationships/hyperlink" Target="../qa/pdf_q31/q31_async_fifo_grayptr.v" TargetMode="External"/><Relationship Id="rId4" Type="http://schemas.openxmlformats.org/officeDocument/2006/relationships/hyperlink" Target="../qa/pdf_q03_q06/q04_bitwise_reduction.v" TargetMode="External"/><Relationship Id="rId9" Type="http://schemas.openxmlformats.org/officeDocument/2006/relationships/hyperlink" Target="../qa/pdf_q07_q11/q09_ff_reset_styles.v" TargetMode="External"/><Relationship Id="rId14" Type="http://schemas.openxmlformats.org/officeDocument/2006/relationships/hyperlink" Target="../qa/pdf_q12_q18/q14_last5_detect_10110.v" TargetMode="External"/><Relationship Id="rId22" Type="http://schemas.openxmlformats.org/officeDocument/2006/relationships/hyperlink" Target="../qa/pdf_q22_q23/q22_time_ticks.v" TargetMode="External"/><Relationship Id="rId27" Type="http://schemas.openxmlformats.org/officeDocument/2006/relationships/hyperlink" Target="../qa/pdf_q27/q27_clock_div_n.v" TargetMode="External"/><Relationship Id="rId30" Type="http://schemas.openxmlformats.org/officeDocument/2006/relationships/hyperlink" Target="../qa/pdf_q28_q30/q30_reset_synchronizer.v" TargetMode="External"/><Relationship Id="rId35" Type="http://schemas.openxmlformats.org/officeDocument/2006/relationships/table" Target="../tables/table3.xml"/><Relationship Id="rId8" Type="http://schemas.openxmlformats.org/officeDocument/2006/relationships/hyperlink" Target="../notes/pdf_q08_q11_theory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showGridLines="0" tabSelected="1" workbookViewId="0">
      <selection activeCell="G11" sqref="G11"/>
    </sheetView>
  </sheetViews>
  <sheetFormatPr defaultRowHeight="14.4" x14ac:dyDescent="0.3"/>
  <cols>
    <col min="1" max="1" width="8.77734375" customWidth="1"/>
    <col min="2" max="2" width="24.77734375" customWidth="1"/>
    <col min="3" max="3" width="20.77734375" customWidth="1"/>
    <col min="4" max="4" width="12.77734375" customWidth="1"/>
    <col min="5" max="5" width="58.77734375" customWidth="1"/>
    <col min="6" max="6" width="18.77734375" customWidth="1"/>
    <col min="7" max="8" width="14.77734375" customWidth="1"/>
    <col min="9" max="9" width="62.77734375" customWidth="1"/>
    <col min="10" max="10" width="58.77734375" customWidth="1"/>
    <col min="11" max="11" width="36.77734375" customWidth="1"/>
    <col min="12" max="12" width="42.77734375" customWidth="1"/>
    <col min="13" max="13" width="48.77734375" customWidth="1"/>
  </cols>
  <sheetData>
    <row r="1" spans="1:13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</row>
    <row r="2" spans="1:13" ht="28.8" x14ac:dyDescent="0.3">
      <c r="A2" s="6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H2" s="24" t="s">
        <v>19</v>
      </c>
      <c r="I2" s="1" t="s">
        <v>20</v>
      </c>
      <c r="J2" s="1" t="s">
        <v>21</v>
      </c>
      <c r="K2" s="1"/>
      <c r="L2" s="1" t="s">
        <v>22</v>
      </c>
      <c r="M2" s="7" t="s">
        <v>23</v>
      </c>
    </row>
    <row r="3" spans="1:13" ht="28.8" x14ac:dyDescent="0.3">
      <c r="A3" s="6">
        <v>2</v>
      </c>
      <c r="B3" s="1" t="s">
        <v>13</v>
      </c>
      <c r="C3" s="1" t="s">
        <v>14</v>
      </c>
      <c r="D3" s="1" t="s">
        <v>24</v>
      </c>
      <c r="E3" s="1" t="s">
        <v>25</v>
      </c>
      <c r="F3" s="1" t="s">
        <v>17</v>
      </c>
      <c r="G3" s="2" t="s">
        <v>18</v>
      </c>
      <c r="H3" s="24" t="s">
        <v>19</v>
      </c>
      <c r="I3" s="1" t="s">
        <v>26</v>
      </c>
      <c r="J3" s="1" t="s">
        <v>27</v>
      </c>
      <c r="K3" s="1"/>
      <c r="L3" s="1" t="s">
        <v>22</v>
      </c>
      <c r="M3" s="7" t="s">
        <v>23</v>
      </c>
    </row>
    <row r="4" spans="1:13" ht="28.8" x14ac:dyDescent="0.3">
      <c r="A4" s="6">
        <v>3</v>
      </c>
      <c r="B4" s="1" t="s">
        <v>13</v>
      </c>
      <c r="C4" s="1" t="s">
        <v>14</v>
      </c>
      <c r="D4" s="1" t="s">
        <v>28</v>
      </c>
      <c r="E4" s="1" t="s">
        <v>29</v>
      </c>
      <c r="F4" s="1" t="s">
        <v>17</v>
      </c>
      <c r="G4" s="2" t="s">
        <v>18</v>
      </c>
      <c r="H4" s="24" t="s">
        <v>19</v>
      </c>
      <c r="I4" s="1" t="s">
        <v>30</v>
      </c>
      <c r="J4" s="1" t="s">
        <v>31</v>
      </c>
      <c r="K4" s="1"/>
      <c r="L4" s="1" t="s">
        <v>22</v>
      </c>
      <c r="M4" s="7" t="s">
        <v>32</v>
      </c>
    </row>
    <row r="5" spans="1:13" ht="28.8" x14ac:dyDescent="0.3">
      <c r="A5" s="6">
        <v>4</v>
      </c>
      <c r="B5" s="1" t="s">
        <v>33</v>
      </c>
      <c r="C5" s="1" t="s">
        <v>14</v>
      </c>
      <c r="D5" s="1" t="s">
        <v>34</v>
      </c>
      <c r="E5" s="1" t="s">
        <v>35</v>
      </c>
      <c r="F5" s="1" t="s">
        <v>17</v>
      </c>
      <c r="G5" s="2" t="s">
        <v>18</v>
      </c>
      <c r="H5" s="24" t="s">
        <v>19</v>
      </c>
      <c r="I5" s="1" t="s">
        <v>37</v>
      </c>
      <c r="J5" s="1" t="s">
        <v>38</v>
      </c>
      <c r="K5" s="1"/>
      <c r="L5" s="25" t="s">
        <v>452</v>
      </c>
      <c r="M5" s="7" t="s">
        <v>32</v>
      </c>
    </row>
    <row r="6" spans="1:13" ht="28.8" x14ac:dyDescent="0.3">
      <c r="A6" s="6">
        <v>5</v>
      </c>
      <c r="B6" s="1" t="s">
        <v>33</v>
      </c>
      <c r="C6" s="1" t="s">
        <v>14</v>
      </c>
      <c r="D6" s="1" t="s">
        <v>39</v>
      </c>
      <c r="E6" s="1" t="s">
        <v>40</v>
      </c>
      <c r="F6" s="1" t="s">
        <v>17</v>
      </c>
      <c r="G6" s="2" t="s">
        <v>18</v>
      </c>
      <c r="H6" s="24" t="s">
        <v>19</v>
      </c>
      <c r="I6" s="1" t="s">
        <v>42</v>
      </c>
      <c r="J6" s="1" t="s">
        <v>43</v>
      </c>
      <c r="K6" s="1"/>
      <c r="L6" s="25" t="s">
        <v>453</v>
      </c>
      <c r="M6" s="7" t="s">
        <v>32</v>
      </c>
    </row>
    <row r="7" spans="1:13" ht="28.8" x14ac:dyDescent="0.3">
      <c r="A7" s="6">
        <v>6</v>
      </c>
      <c r="B7" s="1" t="s">
        <v>33</v>
      </c>
      <c r="C7" s="1" t="s">
        <v>14</v>
      </c>
      <c r="D7" s="1" t="s">
        <v>44</v>
      </c>
      <c r="E7" s="1" t="s">
        <v>45</v>
      </c>
      <c r="F7" s="1" t="s">
        <v>17</v>
      </c>
      <c r="G7" s="4" t="s">
        <v>36</v>
      </c>
      <c r="H7" s="24" t="s">
        <v>19</v>
      </c>
      <c r="I7" s="1" t="s">
        <v>46</v>
      </c>
      <c r="J7" s="1" t="s">
        <v>47</v>
      </c>
      <c r="K7" s="1"/>
      <c r="L7" s="1" t="s">
        <v>454</v>
      </c>
      <c r="M7" s="7" t="s">
        <v>32</v>
      </c>
    </row>
    <row r="8" spans="1:13" ht="28.8" x14ac:dyDescent="0.3">
      <c r="A8" s="6">
        <v>7</v>
      </c>
      <c r="B8" s="1" t="s">
        <v>33</v>
      </c>
      <c r="C8" s="1" t="s">
        <v>14</v>
      </c>
      <c r="D8" s="1" t="s">
        <v>48</v>
      </c>
      <c r="E8" s="1" t="s">
        <v>49</v>
      </c>
      <c r="F8" s="1" t="s">
        <v>17</v>
      </c>
      <c r="G8" s="5" t="s">
        <v>41</v>
      </c>
      <c r="H8" s="24" t="s">
        <v>19</v>
      </c>
      <c r="I8" s="1" t="s">
        <v>50</v>
      </c>
      <c r="J8" s="1" t="s">
        <v>51</v>
      </c>
      <c r="K8" s="1"/>
      <c r="L8" s="1" t="s">
        <v>455</v>
      </c>
      <c r="M8" s="7" t="s">
        <v>32</v>
      </c>
    </row>
    <row r="9" spans="1:13" ht="28.8" x14ac:dyDescent="0.3">
      <c r="A9" s="6">
        <v>8</v>
      </c>
      <c r="B9" s="1" t="s">
        <v>52</v>
      </c>
      <c r="C9" s="1" t="s">
        <v>14</v>
      </c>
      <c r="D9" s="1" t="s">
        <v>53</v>
      </c>
      <c r="E9" s="1" t="s">
        <v>54</v>
      </c>
      <c r="F9" s="1" t="s">
        <v>17</v>
      </c>
      <c r="G9" s="5" t="s">
        <v>41</v>
      </c>
      <c r="H9" s="24" t="s">
        <v>19</v>
      </c>
      <c r="I9" s="1" t="s">
        <v>55</v>
      </c>
      <c r="J9" s="1" t="s">
        <v>56</v>
      </c>
      <c r="K9" s="1"/>
      <c r="L9" s="1" t="s">
        <v>456</v>
      </c>
      <c r="M9" s="7" t="s">
        <v>32</v>
      </c>
    </row>
    <row r="10" spans="1:13" ht="28.8" x14ac:dyDescent="0.3">
      <c r="A10" s="6">
        <v>9</v>
      </c>
      <c r="B10" s="1" t="s">
        <v>52</v>
      </c>
      <c r="C10" s="1" t="s">
        <v>14</v>
      </c>
      <c r="D10" s="1" t="s">
        <v>57</v>
      </c>
      <c r="E10" s="1" t="s">
        <v>58</v>
      </c>
      <c r="F10" s="1" t="s">
        <v>17</v>
      </c>
      <c r="G10" s="5" t="s">
        <v>41</v>
      </c>
      <c r="H10" s="24" t="s">
        <v>19</v>
      </c>
      <c r="I10" s="1" t="s">
        <v>59</v>
      </c>
      <c r="J10" s="1" t="s">
        <v>60</v>
      </c>
      <c r="K10" s="1"/>
      <c r="L10" s="1" t="s">
        <v>457</v>
      </c>
      <c r="M10" s="7" t="s">
        <v>32</v>
      </c>
    </row>
    <row r="11" spans="1:13" ht="28.8" x14ac:dyDescent="0.3">
      <c r="A11" s="6">
        <v>10</v>
      </c>
      <c r="B11" s="1" t="s">
        <v>52</v>
      </c>
      <c r="C11" s="1" t="s">
        <v>14</v>
      </c>
      <c r="D11" s="1" t="s">
        <v>61</v>
      </c>
      <c r="E11" s="1" t="s">
        <v>62</v>
      </c>
      <c r="F11" s="1" t="s">
        <v>17</v>
      </c>
      <c r="G11" s="5" t="s">
        <v>41</v>
      </c>
      <c r="H11" s="24" t="s">
        <v>19</v>
      </c>
      <c r="I11" s="1" t="s">
        <v>63</v>
      </c>
      <c r="J11" s="1" t="s">
        <v>64</v>
      </c>
      <c r="K11" s="1"/>
      <c r="L11" s="1" t="s">
        <v>458</v>
      </c>
      <c r="M11" s="7" t="s">
        <v>32</v>
      </c>
    </row>
    <row r="12" spans="1:13" ht="28.8" x14ac:dyDescent="0.3">
      <c r="A12" s="6">
        <v>11</v>
      </c>
      <c r="B12" s="1" t="s">
        <v>52</v>
      </c>
      <c r="C12" s="1" t="s">
        <v>14</v>
      </c>
      <c r="D12" s="1" t="s">
        <v>65</v>
      </c>
      <c r="E12" s="1" t="s">
        <v>66</v>
      </c>
      <c r="F12" s="1" t="s">
        <v>17</v>
      </c>
      <c r="G12" s="5" t="s">
        <v>41</v>
      </c>
      <c r="H12" s="24" t="s">
        <v>19</v>
      </c>
      <c r="I12" s="1" t="s">
        <v>67</v>
      </c>
      <c r="J12" s="1" t="s">
        <v>68</v>
      </c>
      <c r="K12" s="1"/>
      <c r="L12" s="1" t="s">
        <v>69</v>
      </c>
      <c r="M12" s="7" t="s">
        <v>32</v>
      </c>
    </row>
    <row r="13" spans="1:13" ht="28.8" x14ac:dyDescent="0.3">
      <c r="A13" s="6">
        <v>12</v>
      </c>
      <c r="B13" s="1" t="s">
        <v>52</v>
      </c>
      <c r="C13" s="1" t="s">
        <v>14</v>
      </c>
      <c r="D13" s="1" t="s">
        <v>70</v>
      </c>
      <c r="E13" s="1" t="s">
        <v>71</v>
      </c>
      <c r="F13" s="1" t="s">
        <v>17</v>
      </c>
      <c r="G13" s="5" t="s">
        <v>41</v>
      </c>
      <c r="H13" s="24" t="s">
        <v>19</v>
      </c>
      <c r="I13" s="1" t="s">
        <v>72</v>
      </c>
      <c r="J13" s="1" t="s">
        <v>73</v>
      </c>
      <c r="K13" s="1"/>
      <c r="L13" s="1" t="s">
        <v>74</v>
      </c>
      <c r="M13" s="7" t="s">
        <v>32</v>
      </c>
    </row>
    <row r="14" spans="1:13" ht="28.8" x14ac:dyDescent="0.3">
      <c r="A14" s="6">
        <v>13</v>
      </c>
      <c r="B14" s="1" t="s">
        <v>52</v>
      </c>
      <c r="C14" s="1" t="s">
        <v>14</v>
      </c>
      <c r="D14" s="1" t="s">
        <v>75</v>
      </c>
      <c r="E14" s="1" t="s">
        <v>76</v>
      </c>
      <c r="F14" s="1" t="s">
        <v>17</v>
      </c>
      <c r="G14" s="5" t="s">
        <v>41</v>
      </c>
      <c r="H14" s="24" t="s">
        <v>19</v>
      </c>
      <c r="I14" s="1" t="s">
        <v>77</v>
      </c>
      <c r="J14" s="1" t="s">
        <v>78</v>
      </c>
      <c r="K14" s="1"/>
      <c r="L14" s="1" t="s">
        <v>79</v>
      </c>
      <c r="M14" s="7" t="s">
        <v>32</v>
      </c>
    </row>
    <row r="15" spans="1:13" ht="28.8" x14ac:dyDescent="0.3">
      <c r="A15" s="6">
        <v>14</v>
      </c>
      <c r="B15" s="1" t="s">
        <v>52</v>
      </c>
      <c r="C15" s="1" t="s">
        <v>14</v>
      </c>
      <c r="D15" s="1" t="s">
        <v>80</v>
      </c>
      <c r="E15" s="1" t="s">
        <v>81</v>
      </c>
      <c r="F15" s="1" t="s">
        <v>17</v>
      </c>
      <c r="G15" s="5" t="s">
        <v>41</v>
      </c>
      <c r="H15" s="24" t="s">
        <v>19</v>
      </c>
      <c r="I15" s="1" t="s">
        <v>82</v>
      </c>
      <c r="J15" s="1" t="s">
        <v>83</v>
      </c>
      <c r="K15" s="1"/>
      <c r="L15" s="1" t="s">
        <v>84</v>
      </c>
      <c r="M15" s="7" t="s">
        <v>32</v>
      </c>
    </row>
    <row r="16" spans="1:13" ht="28.8" x14ac:dyDescent="0.3">
      <c r="A16" s="6">
        <v>15</v>
      </c>
      <c r="B16" s="1" t="s">
        <v>52</v>
      </c>
      <c r="C16" s="1" t="s">
        <v>85</v>
      </c>
      <c r="D16" s="1" t="s">
        <v>86</v>
      </c>
      <c r="E16" s="1" t="s">
        <v>87</v>
      </c>
      <c r="F16" s="1" t="s">
        <v>88</v>
      </c>
      <c r="G16" s="5" t="s">
        <v>41</v>
      </c>
      <c r="H16" s="24" t="s">
        <v>89</v>
      </c>
      <c r="I16" s="1" t="s">
        <v>90</v>
      </c>
      <c r="J16" s="1" t="s">
        <v>91</v>
      </c>
      <c r="K16" s="1"/>
      <c r="L16" s="1" t="s">
        <v>90</v>
      </c>
      <c r="M16" s="7" t="s">
        <v>92</v>
      </c>
    </row>
    <row r="17" spans="1:13" ht="28.8" x14ac:dyDescent="0.3">
      <c r="A17" s="6">
        <v>16</v>
      </c>
      <c r="B17" s="1" t="s">
        <v>52</v>
      </c>
      <c r="C17" s="1" t="s">
        <v>85</v>
      </c>
      <c r="D17" s="1" t="s">
        <v>93</v>
      </c>
      <c r="E17" s="1" t="s">
        <v>94</v>
      </c>
      <c r="F17" s="1" t="s">
        <v>88</v>
      </c>
      <c r="G17" s="5" t="s">
        <v>41</v>
      </c>
      <c r="H17" s="24" t="s">
        <v>89</v>
      </c>
      <c r="I17" s="1" t="s">
        <v>90</v>
      </c>
      <c r="J17" s="1" t="s">
        <v>95</v>
      </c>
      <c r="K17" s="1"/>
      <c r="L17" s="1" t="s">
        <v>90</v>
      </c>
      <c r="M17" s="7" t="s">
        <v>92</v>
      </c>
    </row>
    <row r="18" spans="1:13" ht="28.8" x14ac:dyDescent="0.3">
      <c r="A18" s="6">
        <v>17</v>
      </c>
      <c r="B18" s="1" t="s">
        <v>96</v>
      </c>
      <c r="C18" s="1" t="s">
        <v>14</v>
      </c>
      <c r="D18" s="1" t="s">
        <v>97</v>
      </c>
      <c r="E18" s="1" t="s">
        <v>98</v>
      </c>
      <c r="F18" s="1" t="s">
        <v>17</v>
      </c>
      <c r="G18" s="5" t="s">
        <v>41</v>
      </c>
      <c r="H18" s="24" t="s">
        <v>19</v>
      </c>
      <c r="I18" s="1" t="s">
        <v>99</v>
      </c>
      <c r="J18" s="1" t="s">
        <v>100</v>
      </c>
      <c r="K18" s="1"/>
      <c r="L18" s="1" t="s">
        <v>101</v>
      </c>
      <c r="M18" s="7" t="s">
        <v>32</v>
      </c>
    </row>
    <row r="19" spans="1:13" ht="28.8" x14ac:dyDescent="0.3">
      <c r="A19" s="6">
        <v>18</v>
      </c>
      <c r="B19" s="1" t="s">
        <v>96</v>
      </c>
      <c r="C19" s="1" t="s">
        <v>14</v>
      </c>
      <c r="D19" s="1" t="s">
        <v>102</v>
      </c>
      <c r="E19" s="1" t="s">
        <v>103</v>
      </c>
      <c r="F19" s="1" t="s">
        <v>17</v>
      </c>
      <c r="G19" s="5" t="s">
        <v>41</v>
      </c>
      <c r="H19" s="24" t="s">
        <v>19</v>
      </c>
      <c r="I19" s="1" t="s">
        <v>104</v>
      </c>
      <c r="J19" s="1" t="s">
        <v>105</v>
      </c>
      <c r="K19" s="1"/>
      <c r="L19" s="1" t="s">
        <v>106</v>
      </c>
      <c r="M19" s="7" t="s">
        <v>32</v>
      </c>
    </row>
    <row r="20" spans="1:13" ht="28.8" x14ac:dyDescent="0.3">
      <c r="A20" s="6">
        <v>19</v>
      </c>
      <c r="B20" s="1" t="s">
        <v>96</v>
      </c>
      <c r="C20" s="1" t="s">
        <v>14</v>
      </c>
      <c r="D20" s="1" t="s">
        <v>107</v>
      </c>
      <c r="E20" s="1" t="s">
        <v>108</v>
      </c>
      <c r="F20" s="1" t="s">
        <v>17</v>
      </c>
      <c r="G20" s="5" t="s">
        <v>41</v>
      </c>
      <c r="H20" s="24" t="s">
        <v>19</v>
      </c>
      <c r="I20" s="1" t="s">
        <v>109</v>
      </c>
      <c r="J20" s="1" t="s">
        <v>110</v>
      </c>
      <c r="K20" s="1"/>
      <c r="L20" s="1" t="s">
        <v>111</v>
      </c>
      <c r="M20" s="7" t="s">
        <v>32</v>
      </c>
    </row>
    <row r="21" spans="1:13" ht="28.8" x14ac:dyDescent="0.3">
      <c r="A21" s="6">
        <v>20</v>
      </c>
      <c r="B21" s="1" t="s">
        <v>96</v>
      </c>
      <c r="C21" s="1" t="s">
        <v>14</v>
      </c>
      <c r="D21" s="1" t="s">
        <v>112</v>
      </c>
      <c r="E21" s="1" t="s">
        <v>113</v>
      </c>
      <c r="F21" s="1" t="s">
        <v>17</v>
      </c>
      <c r="G21" s="5" t="s">
        <v>41</v>
      </c>
      <c r="H21" s="24" t="s">
        <v>19</v>
      </c>
      <c r="I21" s="1" t="s">
        <v>114</v>
      </c>
      <c r="J21" s="1" t="s">
        <v>115</v>
      </c>
      <c r="K21" s="1"/>
      <c r="L21" s="1" t="s">
        <v>116</v>
      </c>
      <c r="M21" s="7" t="s">
        <v>32</v>
      </c>
    </row>
    <row r="22" spans="1:13" ht="28.8" x14ac:dyDescent="0.3">
      <c r="A22" s="6">
        <v>21</v>
      </c>
      <c r="B22" s="1" t="s">
        <v>33</v>
      </c>
      <c r="C22" s="1" t="s">
        <v>85</v>
      </c>
      <c r="D22" s="1" t="s">
        <v>117</v>
      </c>
      <c r="E22" s="1" t="s">
        <v>118</v>
      </c>
      <c r="F22" s="1" t="s">
        <v>119</v>
      </c>
      <c r="G22" s="5" t="s">
        <v>41</v>
      </c>
      <c r="H22" s="24" t="s">
        <v>89</v>
      </c>
      <c r="I22" s="1" t="s">
        <v>120</v>
      </c>
      <c r="J22" s="1" t="s">
        <v>121</v>
      </c>
      <c r="K22" s="1"/>
      <c r="L22" s="1" t="s">
        <v>120</v>
      </c>
      <c r="M22" s="7" t="s">
        <v>92</v>
      </c>
    </row>
    <row r="23" spans="1:13" ht="28.8" x14ac:dyDescent="0.3">
      <c r="A23" s="6">
        <v>22</v>
      </c>
      <c r="B23" s="1" t="s">
        <v>52</v>
      </c>
      <c r="C23" s="1" t="s">
        <v>85</v>
      </c>
      <c r="D23" s="1" t="s">
        <v>122</v>
      </c>
      <c r="E23" s="1" t="s">
        <v>123</v>
      </c>
      <c r="F23" s="1" t="s">
        <v>119</v>
      </c>
      <c r="G23" s="5" t="s">
        <v>41</v>
      </c>
      <c r="H23" s="24" t="s">
        <v>89</v>
      </c>
      <c r="I23" s="1" t="s">
        <v>124</v>
      </c>
      <c r="J23" s="1" t="s">
        <v>125</v>
      </c>
      <c r="K23" s="1"/>
      <c r="L23" s="1" t="s">
        <v>124</v>
      </c>
      <c r="M23" s="7" t="s">
        <v>92</v>
      </c>
    </row>
    <row r="24" spans="1:13" ht="28.8" x14ac:dyDescent="0.3">
      <c r="A24" s="6">
        <v>23</v>
      </c>
      <c r="B24" s="1" t="s">
        <v>52</v>
      </c>
      <c r="C24" s="1" t="s">
        <v>85</v>
      </c>
      <c r="D24" s="1" t="s">
        <v>126</v>
      </c>
      <c r="E24" s="1" t="s">
        <v>127</v>
      </c>
      <c r="F24" s="1" t="s">
        <v>119</v>
      </c>
      <c r="G24" s="5" t="s">
        <v>41</v>
      </c>
      <c r="H24" s="24" t="s">
        <v>89</v>
      </c>
      <c r="I24" s="1" t="s">
        <v>128</v>
      </c>
      <c r="J24" s="1" t="s">
        <v>129</v>
      </c>
      <c r="K24" s="1"/>
      <c r="L24" s="1" t="s">
        <v>128</v>
      </c>
      <c r="M24" s="7" t="s">
        <v>92</v>
      </c>
    </row>
    <row r="25" spans="1:13" ht="28.8" x14ac:dyDescent="0.3">
      <c r="A25" s="6">
        <v>24</v>
      </c>
      <c r="B25" s="1" t="s">
        <v>52</v>
      </c>
      <c r="C25" s="1" t="s">
        <v>85</v>
      </c>
      <c r="D25" s="1" t="s">
        <v>130</v>
      </c>
      <c r="E25" s="1" t="s">
        <v>131</v>
      </c>
      <c r="F25" s="1" t="s">
        <v>119</v>
      </c>
      <c r="G25" s="5" t="s">
        <v>41</v>
      </c>
      <c r="H25" s="24" t="s">
        <v>89</v>
      </c>
      <c r="I25" s="1" t="s">
        <v>132</v>
      </c>
      <c r="J25" s="1" t="s">
        <v>133</v>
      </c>
      <c r="K25" s="1"/>
      <c r="L25" s="1" t="s">
        <v>132</v>
      </c>
      <c r="M25" s="7" t="s">
        <v>92</v>
      </c>
    </row>
    <row r="26" spans="1:13" ht="28.8" x14ac:dyDescent="0.3">
      <c r="A26" s="6">
        <v>25</v>
      </c>
      <c r="B26" s="1" t="s">
        <v>96</v>
      </c>
      <c r="C26" s="1" t="s">
        <v>85</v>
      </c>
      <c r="D26" s="1" t="s">
        <v>134</v>
      </c>
      <c r="E26" s="1" t="s">
        <v>135</v>
      </c>
      <c r="F26" s="1" t="s">
        <v>136</v>
      </c>
      <c r="G26" s="5" t="s">
        <v>41</v>
      </c>
      <c r="H26" s="24" t="s">
        <v>89</v>
      </c>
      <c r="I26" s="1" t="s">
        <v>137</v>
      </c>
      <c r="J26" s="1" t="s">
        <v>138</v>
      </c>
      <c r="K26" s="1"/>
      <c r="L26" s="1" t="s">
        <v>137</v>
      </c>
      <c r="M26" s="7" t="s">
        <v>92</v>
      </c>
    </row>
    <row r="27" spans="1:13" ht="28.8" x14ac:dyDescent="0.3">
      <c r="A27" s="6">
        <v>26</v>
      </c>
      <c r="B27" s="1" t="s">
        <v>96</v>
      </c>
      <c r="C27" s="1" t="s">
        <v>85</v>
      </c>
      <c r="D27" s="1" t="s">
        <v>139</v>
      </c>
      <c r="E27" s="1" t="s">
        <v>140</v>
      </c>
      <c r="F27" s="1" t="s">
        <v>88</v>
      </c>
      <c r="G27" s="5" t="s">
        <v>41</v>
      </c>
      <c r="H27" s="24" t="s">
        <v>89</v>
      </c>
      <c r="I27" s="1" t="s">
        <v>141</v>
      </c>
      <c r="J27" s="1" t="s">
        <v>142</v>
      </c>
      <c r="K27" s="1"/>
      <c r="L27" s="1" t="s">
        <v>141</v>
      </c>
      <c r="M27" s="7" t="s">
        <v>92</v>
      </c>
    </row>
    <row r="28" spans="1:13" ht="28.8" x14ac:dyDescent="0.3">
      <c r="A28" s="6">
        <v>27</v>
      </c>
      <c r="B28" s="1" t="s">
        <v>96</v>
      </c>
      <c r="C28" s="1" t="s">
        <v>14</v>
      </c>
      <c r="D28" s="1" t="s">
        <v>143</v>
      </c>
      <c r="E28" s="1" t="s">
        <v>144</v>
      </c>
      <c r="F28" s="1" t="s">
        <v>17</v>
      </c>
      <c r="G28" s="5" t="s">
        <v>41</v>
      </c>
      <c r="H28" s="24" t="s">
        <v>19</v>
      </c>
      <c r="I28" s="1" t="s">
        <v>145</v>
      </c>
      <c r="J28" s="1" t="s">
        <v>146</v>
      </c>
      <c r="K28" s="1"/>
      <c r="L28" s="1" t="s">
        <v>147</v>
      </c>
      <c r="M28" s="7" t="s">
        <v>32</v>
      </c>
    </row>
    <row r="29" spans="1:13" ht="28.8" x14ac:dyDescent="0.3">
      <c r="A29" s="6">
        <v>28</v>
      </c>
      <c r="B29" s="1" t="s">
        <v>148</v>
      </c>
      <c r="C29" s="1" t="s">
        <v>14</v>
      </c>
      <c r="D29" s="1" t="s">
        <v>149</v>
      </c>
      <c r="E29" s="1" t="s">
        <v>150</v>
      </c>
      <c r="F29" s="1" t="s">
        <v>17</v>
      </c>
      <c r="G29" s="5" t="s">
        <v>41</v>
      </c>
      <c r="H29" s="24" t="s">
        <v>19</v>
      </c>
      <c r="I29" s="1" t="s">
        <v>151</v>
      </c>
      <c r="J29" s="1" t="s">
        <v>152</v>
      </c>
      <c r="K29" s="1"/>
      <c r="L29" s="1" t="s">
        <v>153</v>
      </c>
      <c r="M29" s="7" t="s">
        <v>32</v>
      </c>
    </row>
    <row r="30" spans="1:13" ht="28.8" x14ac:dyDescent="0.3">
      <c r="A30" s="6">
        <v>29</v>
      </c>
      <c r="B30" s="1" t="s">
        <v>148</v>
      </c>
      <c r="C30" s="1" t="s">
        <v>14</v>
      </c>
      <c r="D30" s="1" t="s">
        <v>154</v>
      </c>
      <c r="E30" s="1" t="s">
        <v>155</v>
      </c>
      <c r="F30" s="1" t="s">
        <v>17</v>
      </c>
      <c r="G30" s="5" t="s">
        <v>41</v>
      </c>
      <c r="H30" s="24" t="s">
        <v>19</v>
      </c>
      <c r="I30" s="1" t="s">
        <v>156</v>
      </c>
      <c r="J30" s="1" t="s">
        <v>157</v>
      </c>
      <c r="K30" s="1"/>
      <c r="L30" s="1" t="s">
        <v>158</v>
      </c>
      <c r="M30" s="7" t="s">
        <v>32</v>
      </c>
    </row>
    <row r="31" spans="1:13" ht="28.8" x14ac:dyDescent="0.3">
      <c r="A31" s="6">
        <v>30</v>
      </c>
      <c r="B31" s="1" t="s">
        <v>148</v>
      </c>
      <c r="C31" s="1" t="s">
        <v>85</v>
      </c>
      <c r="D31" s="1" t="s">
        <v>159</v>
      </c>
      <c r="E31" s="1" t="s">
        <v>160</v>
      </c>
      <c r="F31" s="1" t="s">
        <v>161</v>
      </c>
      <c r="G31" s="5" t="s">
        <v>41</v>
      </c>
      <c r="H31" s="24" t="s">
        <v>89</v>
      </c>
      <c r="I31" s="1" t="s">
        <v>162</v>
      </c>
      <c r="J31" s="1" t="s">
        <v>163</v>
      </c>
      <c r="K31" s="1"/>
      <c r="L31" s="1" t="s">
        <v>162</v>
      </c>
      <c r="M31" s="7" t="s">
        <v>92</v>
      </c>
    </row>
    <row r="32" spans="1:13" ht="28.8" x14ac:dyDescent="0.3">
      <c r="A32" s="6">
        <v>31</v>
      </c>
      <c r="B32" s="1" t="s">
        <v>148</v>
      </c>
      <c r="C32" s="1" t="s">
        <v>85</v>
      </c>
      <c r="D32" s="1" t="s">
        <v>164</v>
      </c>
      <c r="E32" s="1" t="s">
        <v>165</v>
      </c>
      <c r="F32" s="1" t="s">
        <v>161</v>
      </c>
      <c r="G32" s="5" t="s">
        <v>41</v>
      </c>
      <c r="H32" s="24" t="s">
        <v>89</v>
      </c>
      <c r="I32" s="1" t="s">
        <v>166</v>
      </c>
      <c r="J32" s="1" t="s">
        <v>167</v>
      </c>
      <c r="K32" s="1"/>
      <c r="L32" s="1" t="s">
        <v>166</v>
      </c>
      <c r="M32" s="7" t="s">
        <v>92</v>
      </c>
    </row>
    <row r="33" spans="1:13" ht="28.8" x14ac:dyDescent="0.3">
      <c r="A33" s="6">
        <v>32</v>
      </c>
      <c r="B33" s="1" t="s">
        <v>148</v>
      </c>
      <c r="C33" s="1" t="s">
        <v>14</v>
      </c>
      <c r="D33" s="1" t="s">
        <v>168</v>
      </c>
      <c r="E33" s="1" t="s">
        <v>169</v>
      </c>
      <c r="F33" s="1" t="s">
        <v>17</v>
      </c>
      <c r="G33" s="5" t="s">
        <v>41</v>
      </c>
      <c r="H33" s="24" t="s">
        <v>19</v>
      </c>
      <c r="I33" s="1" t="s">
        <v>170</v>
      </c>
      <c r="J33" s="1" t="s">
        <v>171</v>
      </c>
      <c r="K33" s="1"/>
      <c r="L33" s="1" t="s">
        <v>172</v>
      </c>
      <c r="M33" s="7" t="s">
        <v>32</v>
      </c>
    </row>
    <row r="34" spans="1:13" ht="28.8" x14ac:dyDescent="0.3">
      <c r="A34" s="6">
        <v>33</v>
      </c>
      <c r="B34" s="1" t="s">
        <v>148</v>
      </c>
      <c r="C34" s="1" t="s">
        <v>14</v>
      </c>
      <c r="D34" s="1" t="s">
        <v>173</v>
      </c>
      <c r="E34" s="1" t="s">
        <v>174</v>
      </c>
      <c r="F34" s="1" t="s">
        <v>17</v>
      </c>
      <c r="G34" s="5" t="s">
        <v>41</v>
      </c>
      <c r="H34" s="24" t="s">
        <v>19</v>
      </c>
      <c r="I34" s="1" t="s">
        <v>175</v>
      </c>
      <c r="J34" s="1" t="s">
        <v>176</v>
      </c>
      <c r="K34" s="1"/>
      <c r="L34" s="1" t="s">
        <v>177</v>
      </c>
      <c r="M34" s="7" t="s">
        <v>32</v>
      </c>
    </row>
    <row r="35" spans="1:13" ht="28.8" x14ac:dyDescent="0.3">
      <c r="A35" s="6">
        <v>34</v>
      </c>
      <c r="B35" s="1" t="s">
        <v>148</v>
      </c>
      <c r="C35" s="1" t="s">
        <v>14</v>
      </c>
      <c r="D35" s="1" t="s">
        <v>178</v>
      </c>
      <c r="E35" s="1" t="s">
        <v>179</v>
      </c>
      <c r="F35" s="1" t="s">
        <v>17</v>
      </c>
      <c r="G35" s="5" t="s">
        <v>41</v>
      </c>
      <c r="H35" s="24" t="s">
        <v>19</v>
      </c>
      <c r="I35" s="1" t="s">
        <v>180</v>
      </c>
      <c r="J35" s="1" t="s">
        <v>181</v>
      </c>
      <c r="K35" s="1"/>
      <c r="L35" s="1" t="s">
        <v>182</v>
      </c>
      <c r="M35" s="7" t="s">
        <v>32</v>
      </c>
    </row>
    <row r="36" spans="1:13" ht="28.8" x14ac:dyDescent="0.3">
      <c r="A36" s="6">
        <v>35</v>
      </c>
      <c r="B36" s="1" t="s">
        <v>148</v>
      </c>
      <c r="C36" s="1" t="s">
        <v>14</v>
      </c>
      <c r="D36" s="1" t="s">
        <v>183</v>
      </c>
      <c r="E36" s="1" t="s">
        <v>184</v>
      </c>
      <c r="F36" s="1" t="s">
        <v>17</v>
      </c>
      <c r="G36" s="5" t="s">
        <v>41</v>
      </c>
      <c r="H36" s="24" t="s">
        <v>19</v>
      </c>
      <c r="I36" s="1" t="s">
        <v>185</v>
      </c>
      <c r="J36" s="1" t="s">
        <v>186</v>
      </c>
      <c r="K36" s="1"/>
      <c r="L36" s="1" t="s">
        <v>187</v>
      </c>
      <c r="M36" s="7" t="s">
        <v>32</v>
      </c>
    </row>
    <row r="37" spans="1:13" ht="28.8" x14ac:dyDescent="0.3">
      <c r="A37" s="6">
        <v>36</v>
      </c>
      <c r="B37" s="1" t="s">
        <v>148</v>
      </c>
      <c r="C37" s="1" t="s">
        <v>14</v>
      </c>
      <c r="D37" s="1" t="s">
        <v>188</v>
      </c>
      <c r="E37" s="1" t="s">
        <v>189</v>
      </c>
      <c r="F37" s="1" t="s">
        <v>17</v>
      </c>
      <c r="G37" s="5" t="s">
        <v>41</v>
      </c>
      <c r="H37" s="24" t="s">
        <v>19</v>
      </c>
      <c r="I37" s="1" t="s">
        <v>190</v>
      </c>
      <c r="J37" s="1" t="s">
        <v>191</v>
      </c>
      <c r="K37" s="1"/>
      <c r="L37" s="1" t="s">
        <v>192</v>
      </c>
      <c r="M37" s="7" t="s">
        <v>32</v>
      </c>
    </row>
    <row r="38" spans="1:13" ht="28.8" x14ac:dyDescent="0.3">
      <c r="A38" s="6">
        <v>37</v>
      </c>
      <c r="B38" s="1" t="s">
        <v>148</v>
      </c>
      <c r="C38" s="1" t="s">
        <v>85</v>
      </c>
      <c r="D38" s="1" t="s">
        <v>193</v>
      </c>
      <c r="E38" s="1" t="s">
        <v>194</v>
      </c>
      <c r="F38" s="1" t="s">
        <v>161</v>
      </c>
      <c r="G38" s="5" t="s">
        <v>41</v>
      </c>
      <c r="H38" s="24" t="s">
        <v>89</v>
      </c>
      <c r="I38" s="1" t="s">
        <v>195</v>
      </c>
      <c r="J38" s="1" t="s">
        <v>196</v>
      </c>
      <c r="K38" s="1"/>
      <c r="L38" s="1" t="s">
        <v>195</v>
      </c>
      <c r="M38" s="7" t="s">
        <v>92</v>
      </c>
    </row>
    <row r="39" spans="1:13" ht="28.8" x14ac:dyDescent="0.3">
      <c r="A39" s="6">
        <v>38</v>
      </c>
      <c r="B39" s="1" t="s">
        <v>148</v>
      </c>
      <c r="C39" s="1" t="s">
        <v>85</v>
      </c>
      <c r="D39" s="1" t="s">
        <v>197</v>
      </c>
      <c r="E39" s="1" t="s">
        <v>198</v>
      </c>
      <c r="F39" s="1" t="s">
        <v>119</v>
      </c>
      <c r="G39" s="5" t="s">
        <v>41</v>
      </c>
      <c r="H39" s="24" t="s">
        <v>89</v>
      </c>
      <c r="I39" s="1" t="s">
        <v>199</v>
      </c>
      <c r="J39" s="1" t="s">
        <v>200</v>
      </c>
      <c r="K39" s="1"/>
      <c r="L39" s="1" t="s">
        <v>199</v>
      </c>
      <c r="M39" s="7" t="s">
        <v>92</v>
      </c>
    </row>
    <row r="40" spans="1:13" ht="28.8" x14ac:dyDescent="0.3">
      <c r="A40" s="6">
        <v>39</v>
      </c>
      <c r="B40" s="1" t="s">
        <v>201</v>
      </c>
      <c r="C40" s="1" t="s">
        <v>14</v>
      </c>
      <c r="D40" s="1" t="s">
        <v>202</v>
      </c>
      <c r="E40" s="1" t="s">
        <v>203</v>
      </c>
      <c r="F40" s="1" t="s">
        <v>17</v>
      </c>
      <c r="G40" s="5" t="s">
        <v>41</v>
      </c>
      <c r="H40" s="24" t="s">
        <v>19</v>
      </c>
      <c r="I40" s="1" t="s">
        <v>204</v>
      </c>
      <c r="J40" s="1" t="s">
        <v>205</v>
      </c>
      <c r="K40" s="1"/>
      <c r="L40" s="1" t="s">
        <v>206</v>
      </c>
      <c r="M40" s="7" t="s">
        <v>32</v>
      </c>
    </row>
    <row r="41" spans="1:13" ht="28.8" x14ac:dyDescent="0.3">
      <c r="A41" s="6">
        <v>40</v>
      </c>
      <c r="B41" s="1" t="s">
        <v>201</v>
      </c>
      <c r="C41" s="1" t="s">
        <v>14</v>
      </c>
      <c r="D41" s="1" t="s">
        <v>207</v>
      </c>
      <c r="E41" s="1" t="s">
        <v>208</v>
      </c>
      <c r="F41" s="1" t="s">
        <v>17</v>
      </c>
      <c r="G41" s="5" t="s">
        <v>41</v>
      </c>
      <c r="H41" s="24" t="s">
        <v>19</v>
      </c>
      <c r="I41" s="1" t="s">
        <v>209</v>
      </c>
      <c r="J41" s="1" t="s">
        <v>210</v>
      </c>
      <c r="K41" s="1"/>
      <c r="L41" s="1" t="s">
        <v>211</v>
      </c>
      <c r="M41" s="7" t="s">
        <v>32</v>
      </c>
    </row>
    <row r="42" spans="1:13" ht="28.8" x14ac:dyDescent="0.3">
      <c r="A42" s="6">
        <v>41</v>
      </c>
      <c r="B42" s="1" t="s">
        <v>201</v>
      </c>
      <c r="C42" s="1" t="s">
        <v>14</v>
      </c>
      <c r="D42" s="1" t="s">
        <v>212</v>
      </c>
      <c r="E42" s="1" t="s">
        <v>213</v>
      </c>
      <c r="F42" s="1" t="s">
        <v>17</v>
      </c>
      <c r="G42" s="5" t="s">
        <v>41</v>
      </c>
      <c r="H42" s="24" t="s">
        <v>19</v>
      </c>
      <c r="I42" s="1" t="s">
        <v>214</v>
      </c>
      <c r="J42" s="1" t="s">
        <v>215</v>
      </c>
      <c r="K42" s="1"/>
      <c r="L42" s="1" t="s">
        <v>216</v>
      </c>
      <c r="M42" s="7" t="s">
        <v>32</v>
      </c>
    </row>
    <row r="43" spans="1:13" ht="28.8" x14ac:dyDescent="0.3">
      <c r="A43" s="6">
        <v>42</v>
      </c>
      <c r="B43" s="1" t="s">
        <v>201</v>
      </c>
      <c r="C43" s="1" t="s">
        <v>14</v>
      </c>
      <c r="D43" s="1" t="s">
        <v>217</v>
      </c>
      <c r="E43" s="1" t="s">
        <v>218</v>
      </c>
      <c r="F43" s="1" t="s">
        <v>17</v>
      </c>
      <c r="G43" s="5" t="s">
        <v>41</v>
      </c>
      <c r="H43" s="24" t="s">
        <v>19</v>
      </c>
      <c r="I43" s="1" t="s">
        <v>219</v>
      </c>
      <c r="J43" s="1" t="s">
        <v>220</v>
      </c>
      <c r="K43" s="1"/>
      <c r="L43" s="1" t="s">
        <v>221</v>
      </c>
      <c r="M43" s="7" t="s">
        <v>32</v>
      </c>
    </row>
    <row r="44" spans="1:13" ht="28.8" x14ac:dyDescent="0.3">
      <c r="A44" s="6">
        <v>43</v>
      </c>
      <c r="B44" s="1" t="s">
        <v>222</v>
      </c>
      <c r="C44" s="1" t="s">
        <v>14</v>
      </c>
      <c r="D44" s="1" t="s">
        <v>223</v>
      </c>
      <c r="E44" s="1" t="s">
        <v>224</v>
      </c>
      <c r="F44" s="1" t="s">
        <v>17</v>
      </c>
      <c r="G44" s="5" t="s">
        <v>41</v>
      </c>
      <c r="H44" s="24" t="s">
        <v>19</v>
      </c>
      <c r="I44" s="1" t="s">
        <v>225</v>
      </c>
      <c r="J44" s="1" t="s">
        <v>226</v>
      </c>
      <c r="K44" s="1"/>
      <c r="L44" s="1" t="s">
        <v>227</v>
      </c>
      <c r="M44" s="7" t="s">
        <v>32</v>
      </c>
    </row>
    <row r="45" spans="1:13" ht="28.8" x14ac:dyDescent="0.3">
      <c r="A45" s="6">
        <v>44</v>
      </c>
      <c r="B45" s="1" t="s">
        <v>222</v>
      </c>
      <c r="C45" s="1" t="s">
        <v>14</v>
      </c>
      <c r="D45" s="1" t="s">
        <v>228</v>
      </c>
      <c r="E45" s="1" t="s">
        <v>229</v>
      </c>
      <c r="F45" s="1" t="s">
        <v>17</v>
      </c>
      <c r="G45" s="5" t="s">
        <v>41</v>
      </c>
      <c r="H45" s="24" t="s">
        <v>19</v>
      </c>
      <c r="I45" s="1" t="s">
        <v>230</v>
      </c>
      <c r="J45" s="1" t="s">
        <v>231</v>
      </c>
      <c r="K45" s="1"/>
      <c r="L45" s="1" t="s">
        <v>232</v>
      </c>
      <c r="M45" s="7" t="s">
        <v>32</v>
      </c>
    </row>
    <row r="46" spans="1:13" ht="28.8" x14ac:dyDescent="0.3">
      <c r="A46" s="6">
        <v>45</v>
      </c>
      <c r="B46" s="1" t="s">
        <v>222</v>
      </c>
      <c r="C46" s="1" t="s">
        <v>14</v>
      </c>
      <c r="D46" s="1" t="s">
        <v>233</v>
      </c>
      <c r="E46" s="1" t="s">
        <v>234</v>
      </c>
      <c r="F46" s="1" t="s">
        <v>17</v>
      </c>
      <c r="G46" s="5" t="s">
        <v>41</v>
      </c>
      <c r="H46" s="24" t="s">
        <v>19</v>
      </c>
      <c r="I46" s="1" t="s">
        <v>235</v>
      </c>
      <c r="J46" s="1" t="s">
        <v>236</v>
      </c>
      <c r="K46" s="1"/>
      <c r="L46" s="1" t="s">
        <v>237</v>
      </c>
      <c r="M46" s="7" t="s">
        <v>32</v>
      </c>
    </row>
    <row r="47" spans="1:13" ht="28.8" x14ac:dyDescent="0.3">
      <c r="A47" s="6">
        <v>46</v>
      </c>
      <c r="B47" s="1" t="s">
        <v>222</v>
      </c>
      <c r="C47" s="1" t="s">
        <v>85</v>
      </c>
      <c r="D47" s="1" t="s">
        <v>238</v>
      </c>
      <c r="E47" s="1" t="s">
        <v>239</v>
      </c>
      <c r="F47" s="1" t="s">
        <v>240</v>
      </c>
      <c r="G47" s="5" t="s">
        <v>41</v>
      </c>
      <c r="H47" s="24" t="s">
        <v>89</v>
      </c>
      <c r="I47" s="1" t="s">
        <v>241</v>
      </c>
      <c r="J47" s="1" t="s">
        <v>242</v>
      </c>
      <c r="K47" s="1"/>
      <c r="L47" s="1" t="s">
        <v>241</v>
      </c>
      <c r="M47" s="7" t="s">
        <v>92</v>
      </c>
    </row>
    <row r="48" spans="1:13" ht="28.8" x14ac:dyDescent="0.3">
      <c r="A48" s="6">
        <v>47</v>
      </c>
      <c r="B48" s="1" t="s">
        <v>222</v>
      </c>
      <c r="C48" s="1" t="s">
        <v>85</v>
      </c>
      <c r="D48" s="1" t="s">
        <v>243</v>
      </c>
      <c r="E48" s="1" t="s">
        <v>244</v>
      </c>
      <c r="F48" s="1" t="s">
        <v>161</v>
      </c>
      <c r="G48" s="5" t="s">
        <v>41</v>
      </c>
      <c r="H48" s="24" t="s">
        <v>89</v>
      </c>
      <c r="I48" s="1" t="s">
        <v>245</v>
      </c>
      <c r="J48" s="1" t="s">
        <v>246</v>
      </c>
      <c r="K48" s="1"/>
      <c r="L48" s="1" t="s">
        <v>245</v>
      </c>
      <c r="M48" s="7" t="s">
        <v>92</v>
      </c>
    </row>
    <row r="49" spans="1:13" ht="28.8" x14ac:dyDescent="0.3">
      <c r="A49" s="6">
        <v>48</v>
      </c>
      <c r="B49" s="1" t="s">
        <v>222</v>
      </c>
      <c r="C49" s="1" t="s">
        <v>85</v>
      </c>
      <c r="D49" s="1" t="s">
        <v>247</v>
      </c>
      <c r="E49" s="1" t="s">
        <v>248</v>
      </c>
      <c r="F49" s="1" t="s">
        <v>161</v>
      </c>
      <c r="G49" s="5" t="s">
        <v>41</v>
      </c>
      <c r="H49" s="24" t="s">
        <v>89</v>
      </c>
      <c r="I49" s="1" t="s">
        <v>249</v>
      </c>
      <c r="J49" s="1" t="s">
        <v>250</v>
      </c>
      <c r="K49" s="1"/>
      <c r="L49" s="1" t="s">
        <v>249</v>
      </c>
      <c r="M49" s="7" t="s">
        <v>92</v>
      </c>
    </row>
    <row r="50" spans="1:13" ht="28.8" x14ac:dyDescent="0.3">
      <c r="A50" s="6">
        <v>49</v>
      </c>
      <c r="B50" s="1" t="s">
        <v>148</v>
      </c>
      <c r="C50" s="1" t="s">
        <v>85</v>
      </c>
      <c r="D50" s="1" t="s">
        <v>251</v>
      </c>
      <c r="E50" s="1" t="s">
        <v>252</v>
      </c>
      <c r="F50" s="1" t="s">
        <v>119</v>
      </c>
      <c r="G50" s="5" t="s">
        <v>41</v>
      </c>
      <c r="H50" s="24" t="s">
        <v>89</v>
      </c>
      <c r="I50" s="1" t="s">
        <v>253</v>
      </c>
      <c r="J50" s="1" t="s">
        <v>254</v>
      </c>
      <c r="K50" s="1"/>
      <c r="L50" s="1" t="s">
        <v>253</v>
      </c>
      <c r="M50" s="7" t="s">
        <v>92</v>
      </c>
    </row>
    <row r="51" spans="1:13" ht="28.8" x14ac:dyDescent="0.3">
      <c r="A51" s="6">
        <v>50</v>
      </c>
      <c r="B51" s="1" t="s">
        <v>148</v>
      </c>
      <c r="C51" s="1" t="s">
        <v>85</v>
      </c>
      <c r="D51" s="1" t="s">
        <v>255</v>
      </c>
      <c r="E51" s="1" t="s">
        <v>256</v>
      </c>
      <c r="F51" s="1" t="s">
        <v>161</v>
      </c>
      <c r="G51" s="5" t="s">
        <v>41</v>
      </c>
      <c r="H51" s="24" t="s">
        <v>89</v>
      </c>
      <c r="I51" s="1" t="s">
        <v>257</v>
      </c>
      <c r="J51" s="1" t="s">
        <v>258</v>
      </c>
      <c r="K51" s="1"/>
      <c r="L51" s="1" t="s">
        <v>257</v>
      </c>
      <c r="M51" s="7" t="s">
        <v>92</v>
      </c>
    </row>
    <row r="52" spans="1:13" ht="28.8" x14ac:dyDescent="0.3">
      <c r="A52" s="6">
        <v>51</v>
      </c>
      <c r="B52" s="1" t="s">
        <v>259</v>
      </c>
      <c r="C52" s="1" t="s">
        <v>85</v>
      </c>
      <c r="D52" s="1" t="s">
        <v>260</v>
      </c>
      <c r="E52" s="1" t="s">
        <v>261</v>
      </c>
      <c r="F52" s="1" t="s">
        <v>161</v>
      </c>
      <c r="G52" s="5" t="s">
        <v>41</v>
      </c>
      <c r="H52" s="24" t="s">
        <v>89</v>
      </c>
      <c r="I52" s="1" t="s">
        <v>262</v>
      </c>
      <c r="J52" s="1" t="s">
        <v>263</v>
      </c>
      <c r="K52" s="1"/>
      <c r="L52" s="1" t="s">
        <v>262</v>
      </c>
      <c r="M52" s="7" t="s">
        <v>92</v>
      </c>
    </row>
    <row r="53" spans="1:13" ht="28.8" x14ac:dyDescent="0.3">
      <c r="A53" s="6">
        <v>52</v>
      </c>
      <c r="B53" s="1" t="s">
        <v>222</v>
      </c>
      <c r="C53" s="1" t="s">
        <v>85</v>
      </c>
      <c r="D53" s="1" t="s">
        <v>264</v>
      </c>
      <c r="E53" s="1" t="s">
        <v>265</v>
      </c>
      <c r="F53" s="1" t="s">
        <v>161</v>
      </c>
      <c r="G53" s="5" t="s">
        <v>41</v>
      </c>
      <c r="H53" s="24" t="s">
        <v>89</v>
      </c>
      <c r="I53" s="1" t="s">
        <v>266</v>
      </c>
      <c r="J53" s="1" t="s">
        <v>267</v>
      </c>
      <c r="K53" s="1"/>
      <c r="L53" s="1" t="s">
        <v>266</v>
      </c>
      <c r="M53" s="7" t="s">
        <v>92</v>
      </c>
    </row>
    <row r="54" spans="1:13" ht="28.8" x14ac:dyDescent="0.3">
      <c r="A54" s="6">
        <v>53</v>
      </c>
      <c r="B54" s="1" t="s">
        <v>148</v>
      </c>
      <c r="C54" s="1" t="s">
        <v>85</v>
      </c>
      <c r="D54" s="1" t="s">
        <v>268</v>
      </c>
      <c r="E54" s="1" t="s">
        <v>269</v>
      </c>
      <c r="F54" s="1" t="s">
        <v>161</v>
      </c>
      <c r="G54" s="5" t="s">
        <v>41</v>
      </c>
      <c r="H54" s="24" t="s">
        <v>89</v>
      </c>
      <c r="I54" s="1" t="s">
        <v>270</v>
      </c>
      <c r="J54" s="1" t="s">
        <v>271</v>
      </c>
      <c r="K54" s="1"/>
      <c r="L54" s="1" t="s">
        <v>270</v>
      </c>
      <c r="M54" s="7" t="s">
        <v>92</v>
      </c>
    </row>
    <row r="55" spans="1:13" ht="28.8" x14ac:dyDescent="0.3">
      <c r="A55" s="6">
        <v>54</v>
      </c>
      <c r="B55" s="1" t="s">
        <v>33</v>
      </c>
      <c r="C55" s="1" t="s">
        <v>85</v>
      </c>
      <c r="D55" s="1" t="s">
        <v>272</v>
      </c>
      <c r="E55" s="1" t="s">
        <v>273</v>
      </c>
      <c r="F55" s="1" t="s">
        <v>161</v>
      </c>
      <c r="G55" s="5" t="s">
        <v>41</v>
      </c>
      <c r="H55" s="24" t="s">
        <v>89</v>
      </c>
      <c r="I55" s="1" t="s">
        <v>274</v>
      </c>
      <c r="J55" s="1" t="s">
        <v>275</v>
      </c>
      <c r="K55" s="1"/>
      <c r="L55" s="1" t="s">
        <v>274</v>
      </c>
      <c r="M55" s="7" t="s">
        <v>92</v>
      </c>
    </row>
    <row r="56" spans="1:13" ht="28.8" x14ac:dyDescent="0.3">
      <c r="A56" s="6">
        <v>55</v>
      </c>
      <c r="B56" s="1" t="s">
        <v>201</v>
      </c>
      <c r="C56" s="1" t="s">
        <v>85</v>
      </c>
      <c r="D56" s="1" t="s">
        <v>276</v>
      </c>
      <c r="E56" s="1" t="s">
        <v>277</v>
      </c>
      <c r="F56" s="1" t="s">
        <v>161</v>
      </c>
      <c r="G56" s="5" t="s">
        <v>41</v>
      </c>
      <c r="H56" s="24" t="s">
        <v>89</v>
      </c>
      <c r="I56" s="1" t="s">
        <v>278</v>
      </c>
      <c r="J56" s="1" t="s">
        <v>279</v>
      </c>
      <c r="K56" s="1"/>
      <c r="L56" s="1" t="s">
        <v>278</v>
      </c>
      <c r="M56" s="7" t="s">
        <v>92</v>
      </c>
    </row>
    <row r="57" spans="1:13" ht="28.8" x14ac:dyDescent="0.3">
      <c r="A57" s="6">
        <v>56</v>
      </c>
      <c r="B57" s="1" t="s">
        <v>201</v>
      </c>
      <c r="C57" s="1" t="s">
        <v>85</v>
      </c>
      <c r="D57" s="1" t="s">
        <v>280</v>
      </c>
      <c r="E57" s="1" t="s">
        <v>281</v>
      </c>
      <c r="F57" s="1" t="s">
        <v>161</v>
      </c>
      <c r="G57" s="5" t="s">
        <v>41</v>
      </c>
      <c r="H57" s="24" t="s">
        <v>89</v>
      </c>
      <c r="I57" s="1" t="s">
        <v>282</v>
      </c>
      <c r="J57" s="1" t="s">
        <v>283</v>
      </c>
      <c r="K57" s="1"/>
      <c r="L57" s="1" t="s">
        <v>282</v>
      </c>
      <c r="M57" s="7" t="s">
        <v>92</v>
      </c>
    </row>
    <row r="58" spans="1:13" ht="28.8" x14ac:dyDescent="0.3">
      <c r="A58" s="6">
        <v>57</v>
      </c>
      <c r="B58" s="1" t="s">
        <v>222</v>
      </c>
      <c r="C58" s="1" t="s">
        <v>85</v>
      </c>
      <c r="D58" s="1" t="s">
        <v>284</v>
      </c>
      <c r="E58" s="1" t="s">
        <v>285</v>
      </c>
      <c r="F58" s="1" t="s">
        <v>161</v>
      </c>
      <c r="G58" s="5" t="s">
        <v>41</v>
      </c>
      <c r="H58" s="24" t="s">
        <v>89</v>
      </c>
      <c r="I58" s="1" t="s">
        <v>286</v>
      </c>
      <c r="J58" s="1" t="s">
        <v>287</v>
      </c>
      <c r="K58" s="1"/>
      <c r="L58" s="1" t="s">
        <v>286</v>
      </c>
      <c r="M58" s="7" t="s">
        <v>92</v>
      </c>
    </row>
    <row r="59" spans="1:13" ht="28.8" x14ac:dyDescent="0.3">
      <c r="A59" s="6">
        <v>58</v>
      </c>
      <c r="B59" s="1" t="s">
        <v>201</v>
      </c>
      <c r="C59" s="1" t="s">
        <v>85</v>
      </c>
      <c r="D59" s="1" t="s">
        <v>288</v>
      </c>
      <c r="E59" s="1" t="s">
        <v>289</v>
      </c>
      <c r="F59" s="1" t="s">
        <v>161</v>
      </c>
      <c r="G59" s="5" t="s">
        <v>41</v>
      </c>
      <c r="H59" s="24" t="s">
        <v>89</v>
      </c>
      <c r="I59" s="1" t="s">
        <v>290</v>
      </c>
      <c r="J59" s="1" t="s">
        <v>291</v>
      </c>
      <c r="K59" s="1"/>
      <c r="L59" s="1" t="s">
        <v>290</v>
      </c>
      <c r="M59" s="7" t="s">
        <v>92</v>
      </c>
    </row>
    <row r="60" spans="1:13" ht="28.8" x14ac:dyDescent="0.3">
      <c r="A60" s="6">
        <v>59</v>
      </c>
      <c r="B60" s="1" t="s">
        <v>201</v>
      </c>
      <c r="C60" s="1" t="s">
        <v>85</v>
      </c>
      <c r="D60" s="1" t="s">
        <v>292</v>
      </c>
      <c r="E60" s="1" t="s">
        <v>293</v>
      </c>
      <c r="F60" s="1" t="s">
        <v>161</v>
      </c>
      <c r="G60" s="5" t="s">
        <v>41</v>
      </c>
      <c r="H60" s="24" t="s">
        <v>89</v>
      </c>
      <c r="I60" s="1" t="s">
        <v>294</v>
      </c>
      <c r="J60" s="1" t="s">
        <v>295</v>
      </c>
      <c r="K60" s="1"/>
      <c r="L60" s="1" t="s">
        <v>294</v>
      </c>
      <c r="M60" s="7" t="s">
        <v>92</v>
      </c>
    </row>
    <row r="61" spans="1:13" ht="43.2" x14ac:dyDescent="0.3">
      <c r="A61" s="6">
        <v>60</v>
      </c>
      <c r="B61" s="1" t="s">
        <v>201</v>
      </c>
      <c r="C61" s="1" t="s">
        <v>85</v>
      </c>
      <c r="D61" s="1" t="s">
        <v>296</v>
      </c>
      <c r="E61" s="1" t="s">
        <v>297</v>
      </c>
      <c r="F61" s="1" t="s">
        <v>161</v>
      </c>
      <c r="G61" s="5" t="s">
        <v>41</v>
      </c>
      <c r="H61" s="24" t="s">
        <v>89</v>
      </c>
      <c r="I61" s="1" t="s">
        <v>298</v>
      </c>
      <c r="J61" s="1" t="s">
        <v>299</v>
      </c>
      <c r="K61" s="1"/>
      <c r="L61" s="1" t="s">
        <v>298</v>
      </c>
      <c r="M61" s="7" t="s">
        <v>92</v>
      </c>
    </row>
    <row r="62" spans="1:13" ht="28.8" x14ac:dyDescent="0.3">
      <c r="A62" s="6">
        <v>61</v>
      </c>
      <c r="B62" s="1" t="s">
        <v>259</v>
      </c>
      <c r="C62" s="1" t="s">
        <v>85</v>
      </c>
      <c r="D62" s="1" t="s">
        <v>300</v>
      </c>
      <c r="E62" s="1" t="s">
        <v>301</v>
      </c>
      <c r="F62" s="1" t="s">
        <v>161</v>
      </c>
      <c r="G62" s="5" t="s">
        <v>41</v>
      </c>
      <c r="H62" s="24" t="s">
        <v>89</v>
      </c>
      <c r="I62" s="1" t="s">
        <v>302</v>
      </c>
      <c r="J62" s="1" t="s">
        <v>303</v>
      </c>
      <c r="K62" s="1"/>
      <c r="L62" s="1" t="s">
        <v>302</v>
      </c>
      <c r="M62" s="7" t="s">
        <v>92</v>
      </c>
    </row>
    <row r="63" spans="1:13" ht="28.8" x14ac:dyDescent="0.3">
      <c r="A63" s="6">
        <v>62</v>
      </c>
      <c r="B63" s="1" t="s">
        <v>259</v>
      </c>
      <c r="C63" s="1" t="s">
        <v>85</v>
      </c>
      <c r="D63" s="1" t="s">
        <v>304</v>
      </c>
      <c r="E63" s="1" t="s">
        <v>305</v>
      </c>
      <c r="F63" s="1" t="s">
        <v>161</v>
      </c>
      <c r="G63" s="5" t="s">
        <v>41</v>
      </c>
      <c r="H63" s="24" t="s">
        <v>89</v>
      </c>
      <c r="I63" s="1" t="s">
        <v>306</v>
      </c>
      <c r="J63" s="1" t="s">
        <v>307</v>
      </c>
      <c r="K63" s="1"/>
      <c r="L63" s="1" t="s">
        <v>306</v>
      </c>
      <c r="M63" s="7" t="s">
        <v>92</v>
      </c>
    </row>
    <row r="64" spans="1:13" ht="28.8" x14ac:dyDescent="0.3">
      <c r="A64" s="6">
        <v>63</v>
      </c>
      <c r="B64" s="1" t="s">
        <v>259</v>
      </c>
      <c r="C64" s="1" t="s">
        <v>85</v>
      </c>
      <c r="D64" s="1" t="s">
        <v>308</v>
      </c>
      <c r="E64" s="1" t="s">
        <v>309</v>
      </c>
      <c r="F64" s="1" t="s">
        <v>161</v>
      </c>
      <c r="G64" s="5" t="s">
        <v>41</v>
      </c>
      <c r="H64" s="24" t="s">
        <v>89</v>
      </c>
      <c r="I64" s="1" t="s">
        <v>310</v>
      </c>
      <c r="J64" s="1" t="s">
        <v>311</v>
      </c>
      <c r="K64" s="1"/>
      <c r="L64" s="1" t="s">
        <v>310</v>
      </c>
      <c r="M64" s="7" t="s">
        <v>92</v>
      </c>
    </row>
    <row r="65" spans="1:13" ht="28.8" x14ac:dyDescent="0.3">
      <c r="A65" s="6">
        <v>64</v>
      </c>
      <c r="B65" s="1" t="s">
        <v>259</v>
      </c>
      <c r="C65" s="1" t="s">
        <v>85</v>
      </c>
      <c r="D65" s="1" t="s">
        <v>312</v>
      </c>
      <c r="E65" s="1" t="s">
        <v>313</v>
      </c>
      <c r="F65" s="1" t="s">
        <v>119</v>
      </c>
      <c r="G65" s="5" t="s">
        <v>41</v>
      </c>
      <c r="H65" s="24" t="s">
        <v>89</v>
      </c>
      <c r="I65" s="1" t="s">
        <v>314</v>
      </c>
      <c r="J65" s="1" t="s">
        <v>315</v>
      </c>
      <c r="K65" s="1"/>
      <c r="L65" s="1" t="s">
        <v>314</v>
      </c>
      <c r="M65" s="7" t="s">
        <v>92</v>
      </c>
    </row>
    <row r="66" spans="1:13" ht="28.8" x14ac:dyDescent="0.3">
      <c r="A66" s="6">
        <v>65</v>
      </c>
      <c r="B66" s="1" t="s">
        <v>201</v>
      </c>
      <c r="C66" s="1" t="s">
        <v>85</v>
      </c>
      <c r="D66" s="1" t="s">
        <v>316</v>
      </c>
      <c r="E66" s="1" t="s">
        <v>317</v>
      </c>
      <c r="F66" s="1" t="s">
        <v>318</v>
      </c>
      <c r="G66" s="5" t="s">
        <v>41</v>
      </c>
      <c r="H66" s="24" t="s">
        <v>89</v>
      </c>
      <c r="I66" s="1" t="s">
        <v>319</v>
      </c>
      <c r="J66" s="1" t="s">
        <v>320</v>
      </c>
      <c r="K66" s="1"/>
      <c r="L66" s="1" t="s">
        <v>319</v>
      </c>
      <c r="M66" s="7" t="s">
        <v>92</v>
      </c>
    </row>
    <row r="67" spans="1:13" ht="28.8" x14ac:dyDescent="0.3">
      <c r="A67" s="6">
        <v>66</v>
      </c>
      <c r="B67" s="1" t="s">
        <v>201</v>
      </c>
      <c r="C67" s="1" t="s">
        <v>85</v>
      </c>
      <c r="D67" s="1" t="s">
        <v>321</v>
      </c>
      <c r="E67" s="1" t="s">
        <v>322</v>
      </c>
      <c r="F67" s="1" t="s">
        <v>318</v>
      </c>
      <c r="G67" s="5" t="s">
        <v>41</v>
      </c>
      <c r="H67" s="24" t="s">
        <v>89</v>
      </c>
      <c r="I67" s="1" t="s">
        <v>323</v>
      </c>
      <c r="J67" s="1" t="s">
        <v>324</v>
      </c>
      <c r="K67" s="1"/>
      <c r="L67" s="1" t="s">
        <v>323</v>
      </c>
      <c r="M67" s="7" t="s">
        <v>92</v>
      </c>
    </row>
    <row r="68" spans="1:13" ht="28.8" x14ac:dyDescent="0.3">
      <c r="A68" s="6">
        <v>67</v>
      </c>
      <c r="B68" s="1" t="s">
        <v>201</v>
      </c>
      <c r="C68" s="1" t="s">
        <v>85</v>
      </c>
      <c r="D68" s="1" t="s">
        <v>325</v>
      </c>
      <c r="E68" s="1" t="s">
        <v>326</v>
      </c>
      <c r="F68" s="1" t="s">
        <v>318</v>
      </c>
      <c r="G68" s="5" t="s">
        <v>41</v>
      </c>
      <c r="H68" s="24" t="s">
        <v>89</v>
      </c>
      <c r="I68" s="1" t="s">
        <v>327</v>
      </c>
      <c r="J68" s="1" t="s">
        <v>328</v>
      </c>
      <c r="K68" s="1"/>
      <c r="L68" s="1" t="s">
        <v>327</v>
      </c>
      <c r="M68" s="7" t="s">
        <v>92</v>
      </c>
    </row>
    <row r="69" spans="1:13" ht="28.8" x14ac:dyDescent="0.3">
      <c r="A69" s="6">
        <v>68</v>
      </c>
      <c r="B69" s="1" t="s">
        <v>259</v>
      </c>
      <c r="C69" s="1" t="s">
        <v>14</v>
      </c>
      <c r="D69" s="1" t="s">
        <v>329</v>
      </c>
      <c r="E69" s="1" t="s">
        <v>330</v>
      </c>
      <c r="F69" s="1" t="s">
        <v>17</v>
      </c>
      <c r="G69" s="5" t="s">
        <v>41</v>
      </c>
      <c r="H69" s="24" t="s">
        <v>19</v>
      </c>
      <c r="I69" s="1" t="s">
        <v>331</v>
      </c>
      <c r="J69" s="1" t="s">
        <v>332</v>
      </c>
      <c r="K69" s="1"/>
      <c r="L69" s="1" t="s">
        <v>333</v>
      </c>
      <c r="M69" s="7" t="s">
        <v>32</v>
      </c>
    </row>
    <row r="70" spans="1:13" ht="28.8" x14ac:dyDescent="0.3">
      <c r="A70" s="6">
        <v>69</v>
      </c>
      <c r="B70" s="1" t="s">
        <v>259</v>
      </c>
      <c r="C70" s="1" t="s">
        <v>14</v>
      </c>
      <c r="D70" s="1" t="s">
        <v>334</v>
      </c>
      <c r="E70" s="1" t="s">
        <v>335</v>
      </c>
      <c r="F70" s="1" t="s">
        <v>17</v>
      </c>
      <c r="G70" s="5" t="s">
        <v>41</v>
      </c>
      <c r="H70" s="24" t="s">
        <v>19</v>
      </c>
      <c r="I70" s="1" t="s">
        <v>336</v>
      </c>
      <c r="J70" s="1" t="s">
        <v>337</v>
      </c>
      <c r="K70" s="1"/>
      <c r="L70" s="1" t="s">
        <v>338</v>
      </c>
      <c r="M70" s="7" t="s">
        <v>32</v>
      </c>
    </row>
    <row r="71" spans="1:13" ht="28.8" x14ac:dyDescent="0.3">
      <c r="A71" s="6">
        <v>70</v>
      </c>
      <c r="B71" s="1" t="s">
        <v>259</v>
      </c>
      <c r="C71" s="1" t="s">
        <v>14</v>
      </c>
      <c r="D71" s="1" t="s">
        <v>339</v>
      </c>
      <c r="E71" s="1" t="s">
        <v>340</v>
      </c>
      <c r="F71" s="1" t="s">
        <v>17</v>
      </c>
      <c r="G71" s="5" t="s">
        <v>41</v>
      </c>
      <c r="H71" s="24" t="s">
        <v>19</v>
      </c>
      <c r="I71" s="1" t="s">
        <v>341</v>
      </c>
      <c r="J71" s="1" t="s">
        <v>342</v>
      </c>
      <c r="K71" s="1"/>
      <c r="L71" s="1" t="s">
        <v>343</v>
      </c>
      <c r="M71" s="7" t="s">
        <v>32</v>
      </c>
    </row>
    <row r="72" spans="1:13" ht="28.8" x14ac:dyDescent="0.3">
      <c r="A72" s="6">
        <v>71</v>
      </c>
      <c r="B72" s="1" t="s">
        <v>259</v>
      </c>
      <c r="C72" s="1" t="s">
        <v>14</v>
      </c>
      <c r="D72" s="1" t="s">
        <v>344</v>
      </c>
      <c r="E72" s="1" t="s">
        <v>345</v>
      </c>
      <c r="F72" s="1" t="s">
        <v>17</v>
      </c>
      <c r="G72" s="5" t="s">
        <v>41</v>
      </c>
      <c r="H72" s="24" t="s">
        <v>19</v>
      </c>
      <c r="I72" s="1" t="s">
        <v>346</v>
      </c>
      <c r="J72" s="1" t="s">
        <v>347</v>
      </c>
      <c r="K72" s="1"/>
      <c r="L72" s="1" t="s">
        <v>348</v>
      </c>
      <c r="M72" s="7" t="s">
        <v>32</v>
      </c>
    </row>
    <row r="73" spans="1:13" ht="28.8" x14ac:dyDescent="0.3">
      <c r="A73" s="6">
        <v>72</v>
      </c>
      <c r="B73" s="1" t="s">
        <v>259</v>
      </c>
      <c r="C73" s="1" t="s">
        <v>14</v>
      </c>
      <c r="D73" s="1" t="s">
        <v>349</v>
      </c>
      <c r="E73" s="1" t="s">
        <v>350</v>
      </c>
      <c r="F73" s="1" t="s">
        <v>17</v>
      </c>
      <c r="G73" s="5" t="s">
        <v>41</v>
      </c>
      <c r="H73" s="24" t="s">
        <v>19</v>
      </c>
      <c r="I73" s="1" t="s">
        <v>351</v>
      </c>
      <c r="J73" s="1" t="s">
        <v>352</v>
      </c>
      <c r="K73" s="1"/>
      <c r="L73" s="1" t="s">
        <v>353</v>
      </c>
      <c r="M73" s="7" t="s">
        <v>32</v>
      </c>
    </row>
    <row r="74" spans="1:13" ht="28.8" x14ac:dyDescent="0.3">
      <c r="A74" s="11">
        <v>73</v>
      </c>
      <c r="B74" s="12" t="s">
        <v>259</v>
      </c>
      <c r="C74" s="12" t="s">
        <v>14</v>
      </c>
      <c r="D74" s="12" t="s">
        <v>354</v>
      </c>
      <c r="E74" s="12" t="s">
        <v>355</v>
      </c>
      <c r="F74" s="12" t="s">
        <v>17</v>
      </c>
      <c r="G74" s="13" t="s">
        <v>41</v>
      </c>
      <c r="H74" s="24" t="s">
        <v>19</v>
      </c>
      <c r="I74" s="12" t="s">
        <v>356</v>
      </c>
      <c r="J74" s="12" t="s">
        <v>357</v>
      </c>
      <c r="K74" s="12"/>
      <c r="L74" s="12" t="s">
        <v>358</v>
      </c>
      <c r="M74" s="15" t="s">
        <v>32</v>
      </c>
    </row>
  </sheetData>
  <dataValidations count="1">
    <dataValidation type="list" allowBlank="1" showInputMessage="1" showErrorMessage="1" sqref="G2:G74" xr:uid="{00000000-0002-0000-0000-000000000000}">
      <formula1>"Done,Next,Not Started,In Progress,Review,Blocked"</formula1>
    </dataValidation>
  </dataValidations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5000000}"/>
    <hyperlink ref="H7" r:id="rId6" xr:uid="{00000000-0004-0000-0000-000006000000}"/>
    <hyperlink ref="H8" r:id="rId7" xr:uid="{00000000-0004-0000-0000-000007000000}"/>
    <hyperlink ref="H9" r:id="rId8" xr:uid="{00000000-0004-0000-0000-000008000000}"/>
    <hyperlink ref="H10" r:id="rId9" xr:uid="{00000000-0004-0000-0000-000009000000}"/>
    <hyperlink ref="H11" r:id="rId10" xr:uid="{00000000-0004-0000-0000-00000A000000}"/>
    <hyperlink ref="H12" r:id="rId11" xr:uid="{00000000-0004-0000-0000-00000B000000}"/>
    <hyperlink ref="H13" r:id="rId12" xr:uid="{00000000-0004-0000-0000-00000C000000}"/>
    <hyperlink ref="H14" r:id="rId13" xr:uid="{00000000-0004-0000-0000-00000D000000}"/>
    <hyperlink ref="H15" r:id="rId14" xr:uid="{00000000-0004-0000-0000-00000E000000}"/>
    <hyperlink ref="H16" r:id="rId15" xr:uid="{00000000-0004-0000-0000-00000F000000}"/>
    <hyperlink ref="H17" r:id="rId16" xr:uid="{00000000-0004-0000-0000-000010000000}"/>
    <hyperlink ref="H18" r:id="rId17" xr:uid="{00000000-0004-0000-0000-000011000000}"/>
    <hyperlink ref="H19" r:id="rId18" xr:uid="{00000000-0004-0000-0000-000012000000}"/>
    <hyperlink ref="H20" r:id="rId19" xr:uid="{00000000-0004-0000-0000-000013000000}"/>
    <hyperlink ref="H21" r:id="rId20" xr:uid="{00000000-0004-0000-0000-000014000000}"/>
    <hyperlink ref="H22" r:id="rId21" xr:uid="{00000000-0004-0000-0000-000015000000}"/>
    <hyperlink ref="H23" r:id="rId22" xr:uid="{00000000-0004-0000-0000-000016000000}"/>
    <hyperlink ref="H24" r:id="rId23" xr:uid="{00000000-0004-0000-0000-000017000000}"/>
    <hyperlink ref="H25" r:id="rId24" xr:uid="{00000000-0004-0000-0000-000018000000}"/>
    <hyperlink ref="H26" r:id="rId25" xr:uid="{00000000-0004-0000-0000-000019000000}"/>
    <hyperlink ref="H27" r:id="rId26" xr:uid="{00000000-0004-0000-0000-00001A000000}"/>
    <hyperlink ref="H28" r:id="rId27" xr:uid="{00000000-0004-0000-0000-00001B000000}"/>
    <hyperlink ref="H29" r:id="rId28" xr:uid="{00000000-0004-0000-0000-00001C000000}"/>
    <hyperlink ref="H30" r:id="rId29" xr:uid="{00000000-0004-0000-0000-00001D000000}"/>
    <hyperlink ref="H31" r:id="rId30" xr:uid="{00000000-0004-0000-0000-00001E000000}"/>
    <hyperlink ref="H32" r:id="rId31" xr:uid="{00000000-0004-0000-0000-00001F000000}"/>
    <hyperlink ref="H33" r:id="rId32" xr:uid="{00000000-0004-0000-0000-000020000000}"/>
    <hyperlink ref="H34" r:id="rId33" xr:uid="{00000000-0004-0000-0000-000021000000}"/>
    <hyperlink ref="H35" r:id="rId34" xr:uid="{00000000-0004-0000-0000-000022000000}"/>
    <hyperlink ref="H36" r:id="rId35" xr:uid="{00000000-0004-0000-0000-000023000000}"/>
    <hyperlink ref="H37" r:id="rId36" xr:uid="{00000000-0004-0000-0000-000024000000}"/>
    <hyperlink ref="H38" r:id="rId37" xr:uid="{00000000-0004-0000-0000-000025000000}"/>
    <hyperlink ref="H39" r:id="rId38" xr:uid="{00000000-0004-0000-0000-000026000000}"/>
    <hyperlink ref="H40" r:id="rId39" xr:uid="{00000000-0004-0000-0000-000027000000}"/>
    <hyperlink ref="H41" r:id="rId40" xr:uid="{00000000-0004-0000-0000-000028000000}"/>
    <hyperlink ref="H42" r:id="rId41" xr:uid="{00000000-0004-0000-0000-000029000000}"/>
    <hyperlink ref="H43" r:id="rId42" xr:uid="{00000000-0004-0000-0000-00002A000000}"/>
    <hyperlink ref="H44" r:id="rId43" xr:uid="{00000000-0004-0000-0000-00002B000000}"/>
    <hyperlink ref="H45" r:id="rId44" xr:uid="{00000000-0004-0000-0000-00002C000000}"/>
    <hyperlink ref="H46" r:id="rId45" xr:uid="{00000000-0004-0000-0000-00002D000000}"/>
    <hyperlink ref="H47" r:id="rId46" xr:uid="{00000000-0004-0000-0000-00002E000000}"/>
    <hyperlink ref="H48" r:id="rId47" xr:uid="{00000000-0004-0000-0000-00002F000000}"/>
    <hyperlink ref="H49" r:id="rId48" xr:uid="{00000000-0004-0000-0000-000030000000}"/>
    <hyperlink ref="H50" r:id="rId49" xr:uid="{00000000-0004-0000-0000-000031000000}"/>
    <hyperlink ref="H51" r:id="rId50" xr:uid="{00000000-0004-0000-0000-000032000000}"/>
    <hyperlink ref="H52" r:id="rId51" xr:uid="{00000000-0004-0000-0000-000033000000}"/>
    <hyperlink ref="H53" r:id="rId52" xr:uid="{00000000-0004-0000-0000-000034000000}"/>
    <hyperlink ref="H54" r:id="rId53" xr:uid="{00000000-0004-0000-0000-000035000000}"/>
    <hyperlink ref="H55" r:id="rId54" xr:uid="{00000000-0004-0000-0000-000036000000}"/>
    <hyperlink ref="H56" r:id="rId55" xr:uid="{00000000-0004-0000-0000-000037000000}"/>
    <hyperlink ref="H57" r:id="rId56" xr:uid="{00000000-0004-0000-0000-000038000000}"/>
    <hyperlink ref="H58" r:id="rId57" xr:uid="{00000000-0004-0000-0000-000039000000}"/>
    <hyperlink ref="H59" r:id="rId58" xr:uid="{00000000-0004-0000-0000-00003A000000}"/>
    <hyperlink ref="H60" r:id="rId59" xr:uid="{00000000-0004-0000-0000-00003B000000}"/>
    <hyperlink ref="H61" r:id="rId60" xr:uid="{00000000-0004-0000-0000-00003C000000}"/>
    <hyperlink ref="H62" r:id="rId61" xr:uid="{00000000-0004-0000-0000-00003D000000}"/>
    <hyperlink ref="H63" r:id="rId62" xr:uid="{00000000-0004-0000-0000-00003E000000}"/>
    <hyperlink ref="H64" r:id="rId63" xr:uid="{00000000-0004-0000-0000-00003F000000}"/>
    <hyperlink ref="H65" r:id="rId64" xr:uid="{00000000-0004-0000-0000-000040000000}"/>
    <hyperlink ref="H66" r:id="rId65" xr:uid="{00000000-0004-0000-0000-000041000000}"/>
    <hyperlink ref="H67" r:id="rId66" xr:uid="{00000000-0004-0000-0000-000042000000}"/>
    <hyperlink ref="H68" r:id="rId67" xr:uid="{00000000-0004-0000-0000-000043000000}"/>
    <hyperlink ref="H69" r:id="rId68" xr:uid="{00000000-0004-0000-0000-000044000000}"/>
    <hyperlink ref="H70" r:id="rId69" xr:uid="{00000000-0004-0000-0000-000045000000}"/>
    <hyperlink ref="H71" r:id="rId70" xr:uid="{00000000-0004-0000-0000-000046000000}"/>
    <hyperlink ref="H72" r:id="rId71" xr:uid="{00000000-0004-0000-0000-000047000000}"/>
    <hyperlink ref="H73" r:id="rId72" xr:uid="{00000000-0004-0000-0000-000048000000}"/>
    <hyperlink ref="H74" r:id="rId73" xr:uid="{00000000-0004-0000-0000-000049000000}"/>
  </hyperlinks>
  <pageMargins left="0.7" right="0.7" top="0.75" bottom="0.75" header="0.3" footer="0.3"/>
  <tableParts count="1">
    <tablePart r:id="rId7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showGridLines="0" workbookViewId="0"/>
  </sheetViews>
  <sheetFormatPr defaultRowHeight="14.4" x14ac:dyDescent="0.3"/>
  <cols>
    <col min="1" max="1" width="10.77734375" customWidth="1"/>
    <col min="2" max="2" width="72.77734375" customWidth="1"/>
    <col min="3" max="3" width="12.77734375" customWidth="1"/>
    <col min="4" max="4" width="14.77734375" customWidth="1"/>
    <col min="5" max="5" width="86.77734375" customWidth="1"/>
    <col min="6" max="6" width="16.77734375" customWidth="1"/>
  </cols>
  <sheetData>
    <row r="1" spans="1:6" x14ac:dyDescent="0.3">
      <c r="A1" s="8" t="s">
        <v>359</v>
      </c>
      <c r="B1" s="9" t="s">
        <v>360</v>
      </c>
      <c r="C1" s="9" t="s">
        <v>361</v>
      </c>
      <c r="D1" s="9" t="s">
        <v>6</v>
      </c>
      <c r="E1" s="9" t="s">
        <v>362</v>
      </c>
      <c r="F1" s="10" t="s">
        <v>363</v>
      </c>
    </row>
    <row r="2" spans="1:6" ht="82.05" customHeight="1" x14ac:dyDescent="0.3">
      <c r="A2" s="6">
        <v>1</v>
      </c>
      <c r="B2" s="1" t="s">
        <v>16</v>
      </c>
      <c r="C2" s="16">
        <v>1.6923611111111112</v>
      </c>
      <c r="D2" s="2" t="s">
        <v>18</v>
      </c>
      <c r="E2" s="3" t="s">
        <v>20</v>
      </c>
      <c r="F2" s="7" t="s">
        <v>364</v>
      </c>
    </row>
    <row r="3" spans="1:6" ht="82.05" customHeight="1" x14ac:dyDescent="0.3">
      <c r="A3" s="6">
        <v>2</v>
      </c>
      <c r="B3" s="1" t="s">
        <v>25</v>
      </c>
      <c r="C3" s="16">
        <v>2.0458333333333334</v>
      </c>
      <c r="D3" s="2" t="s">
        <v>18</v>
      </c>
      <c r="E3" s="3" t="s">
        <v>26</v>
      </c>
      <c r="F3" s="7" t="s">
        <v>365</v>
      </c>
    </row>
    <row r="4" spans="1:6" ht="82.05" customHeight="1" x14ac:dyDescent="0.3">
      <c r="A4" s="6">
        <v>3</v>
      </c>
      <c r="B4" s="1" t="s">
        <v>29</v>
      </c>
      <c r="C4" s="16">
        <v>1.9479166666666667</v>
      </c>
      <c r="D4" s="4" t="s">
        <v>36</v>
      </c>
      <c r="E4" s="3" t="s">
        <v>30</v>
      </c>
      <c r="F4" s="7" t="s">
        <v>366</v>
      </c>
    </row>
    <row r="5" spans="1:6" ht="82.05" customHeight="1" x14ac:dyDescent="0.3">
      <c r="A5" s="6">
        <v>4</v>
      </c>
      <c r="B5" s="1" t="s">
        <v>35</v>
      </c>
      <c r="C5" s="16">
        <v>1.3166666666666667</v>
      </c>
      <c r="D5" s="5" t="s">
        <v>41</v>
      </c>
      <c r="E5" s="3" t="s">
        <v>37</v>
      </c>
      <c r="F5" s="7" t="s">
        <v>367</v>
      </c>
    </row>
    <row r="6" spans="1:6" ht="82.05" customHeight="1" x14ac:dyDescent="0.3">
      <c r="A6" s="6">
        <v>5</v>
      </c>
      <c r="B6" s="1" t="s">
        <v>40</v>
      </c>
      <c r="C6" s="17">
        <v>0.80208333333333337</v>
      </c>
      <c r="D6" s="5" t="s">
        <v>41</v>
      </c>
      <c r="E6" s="3" t="s">
        <v>42</v>
      </c>
      <c r="F6" s="7" t="s">
        <v>368</v>
      </c>
    </row>
    <row r="7" spans="1:6" ht="82.05" customHeight="1" x14ac:dyDescent="0.3">
      <c r="A7" s="6">
        <v>6</v>
      </c>
      <c r="B7" s="1" t="s">
        <v>45</v>
      </c>
      <c r="C7" s="16">
        <v>1.0062500000000001</v>
      </c>
      <c r="D7" s="5" t="s">
        <v>41</v>
      </c>
      <c r="E7" s="3" t="s">
        <v>46</v>
      </c>
      <c r="F7" s="7" t="s">
        <v>369</v>
      </c>
    </row>
    <row r="8" spans="1:6" ht="82.05" customHeight="1" x14ac:dyDescent="0.3">
      <c r="A8" s="6">
        <v>7</v>
      </c>
      <c r="B8" s="1" t="s">
        <v>49</v>
      </c>
      <c r="C8" s="17">
        <v>0.79722222222222228</v>
      </c>
      <c r="D8" s="5" t="s">
        <v>41</v>
      </c>
      <c r="E8" s="3" t="s">
        <v>50</v>
      </c>
      <c r="F8" s="7" t="s">
        <v>370</v>
      </c>
    </row>
    <row r="9" spans="1:6" ht="82.05" customHeight="1" x14ac:dyDescent="0.3">
      <c r="A9" s="6">
        <v>8</v>
      </c>
      <c r="B9" s="1" t="s">
        <v>54</v>
      </c>
      <c r="C9" s="16">
        <v>1.7673611111111112</v>
      </c>
      <c r="D9" s="5" t="s">
        <v>41</v>
      </c>
      <c r="E9" s="3" t="s">
        <v>55</v>
      </c>
      <c r="F9" s="7" t="s">
        <v>371</v>
      </c>
    </row>
    <row r="10" spans="1:6" ht="82.05" customHeight="1" x14ac:dyDescent="0.3">
      <c r="A10" s="6">
        <v>9</v>
      </c>
      <c r="B10" s="1" t="s">
        <v>58</v>
      </c>
      <c r="C10" s="16">
        <v>1.3076388888888888</v>
      </c>
      <c r="D10" s="5" t="s">
        <v>41</v>
      </c>
      <c r="E10" s="3" t="s">
        <v>59</v>
      </c>
      <c r="F10" s="7" t="s">
        <v>372</v>
      </c>
    </row>
    <row r="11" spans="1:6" ht="82.05" customHeight="1" x14ac:dyDescent="0.3">
      <c r="A11" s="6">
        <v>10</v>
      </c>
      <c r="B11" s="1" t="s">
        <v>62</v>
      </c>
      <c r="C11" s="16">
        <v>1.6937500000000001</v>
      </c>
      <c r="D11" s="5" t="s">
        <v>41</v>
      </c>
      <c r="E11" s="3" t="s">
        <v>63</v>
      </c>
      <c r="F11" s="7" t="s">
        <v>373</v>
      </c>
    </row>
    <row r="12" spans="1:6" ht="82.05" customHeight="1" x14ac:dyDescent="0.3">
      <c r="A12" s="6">
        <v>11</v>
      </c>
      <c r="B12" s="1" t="s">
        <v>66</v>
      </c>
      <c r="C12" s="16">
        <v>1.5</v>
      </c>
      <c r="D12" s="5" t="s">
        <v>41</v>
      </c>
      <c r="E12" s="3" t="s">
        <v>67</v>
      </c>
      <c r="F12" s="7" t="s">
        <v>374</v>
      </c>
    </row>
    <row r="13" spans="1:6" ht="82.05" customHeight="1" x14ac:dyDescent="0.3">
      <c r="A13" s="6">
        <v>12</v>
      </c>
      <c r="B13" s="1" t="s">
        <v>71</v>
      </c>
      <c r="C13" s="16">
        <v>1.6201388888888888</v>
      </c>
      <c r="D13" s="5" t="s">
        <v>41</v>
      </c>
      <c r="E13" s="3" t="s">
        <v>72</v>
      </c>
      <c r="F13" s="7" t="s">
        <v>375</v>
      </c>
    </row>
    <row r="14" spans="1:6" ht="82.05" customHeight="1" x14ac:dyDescent="0.3">
      <c r="A14" s="6">
        <v>13</v>
      </c>
      <c r="B14" s="1" t="s">
        <v>76</v>
      </c>
      <c r="C14" s="16">
        <v>1.3006944444444444</v>
      </c>
      <c r="D14" s="5" t="s">
        <v>41</v>
      </c>
      <c r="E14" s="3" t="s">
        <v>77</v>
      </c>
      <c r="F14" s="7" t="s">
        <v>376</v>
      </c>
    </row>
    <row r="15" spans="1:6" ht="82.05" customHeight="1" x14ac:dyDescent="0.3">
      <c r="A15" s="6">
        <v>14</v>
      </c>
      <c r="B15" s="1" t="s">
        <v>81</v>
      </c>
      <c r="C15" s="16">
        <v>1.5520833333333333</v>
      </c>
      <c r="D15" s="5" t="s">
        <v>41</v>
      </c>
      <c r="E15" s="3" t="s">
        <v>82</v>
      </c>
      <c r="F15" s="7" t="s">
        <v>377</v>
      </c>
    </row>
    <row r="16" spans="1:6" ht="82.05" customHeight="1" x14ac:dyDescent="0.3">
      <c r="A16" s="6">
        <v>15</v>
      </c>
      <c r="B16" s="1" t="s">
        <v>98</v>
      </c>
      <c r="C16" s="17">
        <v>0.87986111111111109</v>
      </c>
      <c r="D16" s="5" t="s">
        <v>41</v>
      </c>
      <c r="E16" s="3" t="s">
        <v>99</v>
      </c>
      <c r="F16" s="7" t="s">
        <v>378</v>
      </c>
    </row>
    <row r="17" spans="1:6" ht="82.05" customHeight="1" x14ac:dyDescent="0.3">
      <c r="A17" s="6">
        <v>16</v>
      </c>
      <c r="B17" s="1" t="s">
        <v>103</v>
      </c>
      <c r="C17" s="17">
        <v>0.91527777777777775</v>
      </c>
      <c r="D17" s="5" t="s">
        <v>41</v>
      </c>
      <c r="E17" s="3" t="s">
        <v>104</v>
      </c>
      <c r="F17" s="7" t="s">
        <v>379</v>
      </c>
    </row>
    <row r="18" spans="1:6" ht="82.05" customHeight="1" x14ac:dyDescent="0.3">
      <c r="A18" s="6">
        <v>17</v>
      </c>
      <c r="B18" s="1" t="s">
        <v>108</v>
      </c>
      <c r="C18" s="17">
        <v>0.86875000000000002</v>
      </c>
      <c r="D18" s="5" t="s">
        <v>41</v>
      </c>
      <c r="E18" s="3" t="s">
        <v>109</v>
      </c>
      <c r="F18" s="7" t="s">
        <v>380</v>
      </c>
    </row>
    <row r="19" spans="1:6" ht="82.05" customHeight="1" x14ac:dyDescent="0.3">
      <c r="A19" s="6">
        <v>18</v>
      </c>
      <c r="B19" s="1" t="s">
        <v>113</v>
      </c>
      <c r="C19" s="17">
        <v>0.96666666666666667</v>
      </c>
      <c r="D19" s="5" t="s">
        <v>41</v>
      </c>
      <c r="E19" s="3" t="s">
        <v>114</v>
      </c>
      <c r="F19" s="7" t="s">
        <v>381</v>
      </c>
    </row>
    <row r="20" spans="1:6" ht="82.05" customHeight="1" x14ac:dyDescent="0.3">
      <c r="A20" s="6">
        <v>19</v>
      </c>
      <c r="B20" s="1" t="s">
        <v>144</v>
      </c>
      <c r="C20" s="16">
        <v>1.304861111111111</v>
      </c>
      <c r="D20" s="5" t="s">
        <v>41</v>
      </c>
      <c r="E20" s="3" t="s">
        <v>145</v>
      </c>
      <c r="F20" s="7" t="s">
        <v>382</v>
      </c>
    </row>
    <row r="21" spans="1:6" ht="82.05" customHeight="1" x14ac:dyDescent="0.3">
      <c r="A21" s="6">
        <v>20</v>
      </c>
      <c r="B21" s="1" t="s">
        <v>150</v>
      </c>
      <c r="C21" s="17">
        <v>0.93819444444444444</v>
      </c>
      <c r="D21" s="5" t="s">
        <v>41</v>
      </c>
      <c r="E21" s="3" t="s">
        <v>151</v>
      </c>
      <c r="F21" s="7" t="s">
        <v>383</v>
      </c>
    </row>
    <row r="22" spans="1:6" ht="82.05" customHeight="1" x14ac:dyDescent="0.3">
      <c r="A22" s="6">
        <v>21</v>
      </c>
      <c r="B22" s="1" t="s">
        <v>155</v>
      </c>
      <c r="C22" s="17">
        <v>0.74305555555555558</v>
      </c>
      <c r="D22" s="5" t="s">
        <v>41</v>
      </c>
      <c r="E22" s="3" t="s">
        <v>156</v>
      </c>
      <c r="F22" s="7" t="s">
        <v>384</v>
      </c>
    </row>
    <row r="23" spans="1:6" ht="82.05" customHeight="1" x14ac:dyDescent="0.3">
      <c r="A23" s="6">
        <v>22</v>
      </c>
      <c r="B23" s="1" t="s">
        <v>169</v>
      </c>
      <c r="C23" s="16">
        <v>1.3569444444444445</v>
      </c>
      <c r="D23" s="5" t="s">
        <v>41</v>
      </c>
      <c r="E23" s="3" t="s">
        <v>170</v>
      </c>
      <c r="F23" s="7" t="s">
        <v>385</v>
      </c>
    </row>
    <row r="24" spans="1:6" ht="82.05" customHeight="1" x14ac:dyDescent="0.3">
      <c r="A24" s="6">
        <v>23</v>
      </c>
      <c r="B24" s="1" t="s">
        <v>174</v>
      </c>
      <c r="C24" s="17">
        <v>0.62361111111111112</v>
      </c>
      <c r="D24" s="5" t="s">
        <v>41</v>
      </c>
      <c r="E24" s="3" t="s">
        <v>175</v>
      </c>
      <c r="F24" s="7" t="s">
        <v>386</v>
      </c>
    </row>
    <row r="25" spans="1:6" ht="82.05" customHeight="1" x14ac:dyDescent="0.3">
      <c r="A25" s="6">
        <v>24</v>
      </c>
      <c r="B25" s="1" t="s">
        <v>179</v>
      </c>
      <c r="C25" s="17">
        <v>0.95138888888888884</v>
      </c>
      <c r="D25" s="5" t="s">
        <v>41</v>
      </c>
      <c r="E25" s="3" t="s">
        <v>180</v>
      </c>
      <c r="F25" s="7" t="s">
        <v>387</v>
      </c>
    </row>
    <row r="26" spans="1:6" ht="82.05" customHeight="1" x14ac:dyDescent="0.3">
      <c r="A26" s="6">
        <v>25</v>
      </c>
      <c r="B26" s="1" t="s">
        <v>184</v>
      </c>
      <c r="C26" s="17">
        <v>0.83958333333333335</v>
      </c>
      <c r="D26" s="5" t="s">
        <v>41</v>
      </c>
      <c r="E26" s="3" t="s">
        <v>185</v>
      </c>
      <c r="F26" s="7" t="s">
        <v>388</v>
      </c>
    </row>
    <row r="27" spans="1:6" ht="82.05" customHeight="1" x14ac:dyDescent="0.3">
      <c r="A27" s="6">
        <v>26</v>
      </c>
      <c r="B27" s="1" t="s">
        <v>189</v>
      </c>
      <c r="C27" s="16">
        <v>1.1201388888888888</v>
      </c>
      <c r="D27" s="5" t="s">
        <v>41</v>
      </c>
      <c r="E27" s="3" t="s">
        <v>190</v>
      </c>
      <c r="F27" s="7" t="s">
        <v>389</v>
      </c>
    </row>
    <row r="28" spans="1:6" ht="82.05" customHeight="1" x14ac:dyDescent="0.3">
      <c r="A28" s="6">
        <v>27</v>
      </c>
      <c r="B28" s="1" t="s">
        <v>203</v>
      </c>
      <c r="C28" s="16">
        <v>1.1875</v>
      </c>
      <c r="D28" s="5" t="s">
        <v>41</v>
      </c>
      <c r="E28" s="3" t="s">
        <v>204</v>
      </c>
      <c r="F28" s="7" t="s">
        <v>390</v>
      </c>
    </row>
    <row r="29" spans="1:6" ht="82.05" customHeight="1" x14ac:dyDescent="0.3">
      <c r="A29" s="6">
        <v>28</v>
      </c>
      <c r="B29" s="1" t="s">
        <v>208</v>
      </c>
      <c r="C29" s="16">
        <v>1.0687500000000001</v>
      </c>
      <c r="D29" s="5" t="s">
        <v>41</v>
      </c>
      <c r="E29" s="3" t="s">
        <v>209</v>
      </c>
      <c r="F29" s="7" t="s">
        <v>391</v>
      </c>
    </row>
    <row r="30" spans="1:6" ht="82.05" customHeight="1" x14ac:dyDescent="0.3">
      <c r="A30" s="6">
        <v>29</v>
      </c>
      <c r="B30" s="1" t="s">
        <v>213</v>
      </c>
      <c r="C30" s="16">
        <v>1.5402777777777779</v>
      </c>
      <c r="D30" s="5" t="s">
        <v>41</v>
      </c>
      <c r="E30" s="3" t="s">
        <v>214</v>
      </c>
      <c r="F30" s="7" t="s">
        <v>392</v>
      </c>
    </row>
    <row r="31" spans="1:6" ht="82.05" customHeight="1" x14ac:dyDescent="0.3">
      <c r="A31" s="6">
        <v>30</v>
      </c>
      <c r="B31" s="1" t="s">
        <v>218</v>
      </c>
      <c r="C31" s="16">
        <v>1.4465277777777779</v>
      </c>
      <c r="D31" s="5" t="s">
        <v>41</v>
      </c>
      <c r="E31" s="3" t="s">
        <v>219</v>
      </c>
      <c r="F31" s="7" t="s">
        <v>393</v>
      </c>
    </row>
    <row r="32" spans="1:6" ht="82.05" customHeight="1" x14ac:dyDescent="0.3">
      <c r="A32" s="6">
        <v>31</v>
      </c>
      <c r="B32" s="1" t="s">
        <v>224</v>
      </c>
      <c r="C32" s="17">
        <v>0.71666666666666667</v>
      </c>
      <c r="D32" s="5" t="s">
        <v>41</v>
      </c>
      <c r="E32" s="3" t="s">
        <v>225</v>
      </c>
      <c r="F32" s="7" t="s">
        <v>394</v>
      </c>
    </row>
    <row r="33" spans="1:6" ht="82.05" customHeight="1" x14ac:dyDescent="0.3">
      <c r="A33" s="6">
        <v>32</v>
      </c>
      <c r="B33" s="1" t="s">
        <v>229</v>
      </c>
      <c r="C33" s="16">
        <v>1.0597222222222222</v>
      </c>
      <c r="D33" s="5" t="s">
        <v>41</v>
      </c>
      <c r="E33" s="3" t="s">
        <v>230</v>
      </c>
      <c r="F33" s="7" t="s">
        <v>395</v>
      </c>
    </row>
    <row r="34" spans="1:6" ht="82.05" customHeight="1" x14ac:dyDescent="0.3">
      <c r="A34" s="6">
        <v>33</v>
      </c>
      <c r="B34" s="1" t="s">
        <v>234</v>
      </c>
      <c r="C34" s="17">
        <v>0.87708333333333333</v>
      </c>
      <c r="D34" s="5" t="s">
        <v>41</v>
      </c>
      <c r="E34" s="3" t="s">
        <v>235</v>
      </c>
      <c r="F34" s="7" t="s">
        <v>396</v>
      </c>
    </row>
    <row r="35" spans="1:6" ht="82.05" customHeight="1" x14ac:dyDescent="0.3">
      <c r="A35" s="6">
        <v>34</v>
      </c>
      <c r="B35" s="1" t="s">
        <v>330</v>
      </c>
      <c r="C35" s="17">
        <v>0.81666666666666665</v>
      </c>
      <c r="D35" s="5" t="s">
        <v>41</v>
      </c>
      <c r="E35" s="3" t="s">
        <v>331</v>
      </c>
      <c r="F35" s="7" t="s">
        <v>397</v>
      </c>
    </row>
    <row r="36" spans="1:6" ht="82.05" customHeight="1" x14ac:dyDescent="0.3">
      <c r="A36" s="6">
        <v>35</v>
      </c>
      <c r="B36" s="1" t="s">
        <v>335</v>
      </c>
      <c r="C36" s="16">
        <v>1.6965277777777779</v>
      </c>
      <c r="D36" s="5" t="s">
        <v>41</v>
      </c>
      <c r="E36" s="3" t="s">
        <v>336</v>
      </c>
      <c r="F36" s="7" t="s">
        <v>398</v>
      </c>
    </row>
    <row r="37" spans="1:6" ht="82.05" customHeight="1" x14ac:dyDescent="0.3">
      <c r="A37" s="6">
        <v>36</v>
      </c>
      <c r="B37" s="1" t="s">
        <v>340</v>
      </c>
      <c r="C37" s="17">
        <v>0.81944444444444442</v>
      </c>
      <c r="D37" s="5" t="s">
        <v>41</v>
      </c>
      <c r="E37" s="3" t="s">
        <v>341</v>
      </c>
      <c r="F37" s="7" t="s">
        <v>399</v>
      </c>
    </row>
    <row r="38" spans="1:6" ht="82.05" customHeight="1" x14ac:dyDescent="0.3">
      <c r="A38" s="6">
        <v>37</v>
      </c>
      <c r="B38" s="1" t="s">
        <v>345</v>
      </c>
      <c r="C38" s="16">
        <v>1.054861111111111</v>
      </c>
      <c r="D38" s="5" t="s">
        <v>41</v>
      </c>
      <c r="E38" s="3" t="s">
        <v>346</v>
      </c>
      <c r="F38" s="7" t="s">
        <v>400</v>
      </c>
    </row>
    <row r="39" spans="1:6" ht="82.05" customHeight="1" x14ac:dyDescent="0.3">
      <c r="A39" s="6">
        <v>38</v>
      </c>
      <c r="B39" s="1" t="s">
        <v>350</v>
      </c>
      <c r="C39" s="17">
        <v>0.39444444444444443</v>
      </c>
      <c r="D39" s="5" t="s">
        <v>41</v>
      </c>
      <c r="E39" s="3" t="s">
        <v>351</v>
      </c>
      <c r="F39" s="7" t="s">
        <v>401</v>
      </c>
    </row>
    <row r="40" spans="1:6" ht="82.05" customHeight="1" x14ac:dyDescent="0.3">
      <c r="A40" s="11">
        <v>39</v>
      </c>
      <c r="B40" s="12" t="s">
        <v>355</v>
      </c>
      <c r="C40" s="18">
        <v>0.72222222222222221</v>
      </c>
      <c r="D40" s="13" t="s">
        <v>41</v>
      </c>
      <c r="E40" s="14" t="s">
        <v>356</v>
      </c>
      <c r="F40" s="15" t="s">
        <v>402</v>
      </c>
    </row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  <hyperlink ref="E17" r:id="rId16" xr:uid="{00000000-0004-0000-0100-00000F000000}"/>
    <hyperlink ref="E18" r:id="rId17" xr:uid="{00000000-0004-0000-0100-000010000000}"/>
    <hyperlink ref="E19" r:id="rId18" xr:uid="{00000000-0004-0000-0100-000011000000}"/>
    <hyperlink ref="E20" r:id="rId19" xr:uid="{00000000-0004-0000-0100-000012000000}"/>
    <hyperlink ref="E21" r:id="rId20" xr:uid="{00000000-0004-0000-0100-000013000000}"/>
    <hyperlink ref="E22" r:id="rId21" xr:uid="{00000000-0004-0000-0100-000014000000}"/>
    <hyperlink ref="E23" r:id="rId22" xr:uid="{00000000-0004-0000-0100-000015000000}"/>
    <hyperlink ref="E24" r:id="rId23" xr:uid="{00000000-0004-0000-0100-000016000000}"/>
    <hyperlink ref="E25" r:id="rId24" xr:uid="{00000000-0004-0000-0100-000017000000}"/>
    <hyperlink ref="E26" r:id="rId25" xr:uid="{00000000-0004-0000-0100-000018000000}"/>
    <hyperlink ref="E27" r:id="rId26" xr:uid="{00000000-0004-0000-0100-000019000000}"/>
    <hyperlink ref="E28" r:id="rId27" xr:uid="{00000000-0004-0000-0100-00001A000000}"/>
    <hyperlink ref="E29" r:id="rId28" xr:uid="{00000000-0004-0000-0100-00001B000000}"/>
    <hyperlink ref="E30" r:id="rId29" xr:uid="{00000000-0004-0000-0100-00001C000000}"/>
    <hyperlink ref="E31" r:id="rId30" xr:uid="{00000000-0004-0000-0100-00001D000000}"/>
    <hyperlink ref="E32" r:id="rId31" xr:uid="{00000000-0004-0000-0100-00001E000000}"/>
    <hyperlink ref="E33" r:id="rId32" xr:uid="{00000000-0004-0000-0100-00001F000000}"/>
    <hyperlink ref="E34" r:id="rId33" xr:uid="{00000000-0004-0000-0100-000020000000}"/>
    <hyperlink ref="E35" r:id="rId34" xr:uid="{00000000-0004-0000-0100-000021000000}"/>
    <hyperlink ref="E36" r:id="rId35" xr:uid="{00000000-0004-0000-0100-000022000000}"/>
    <hyperlink ref="E37" r:id="rId36" xr:uid="{00000000-0004-0000-0100-000023000000}"/>
    <hyperlink ref="E38" r:id="rId37" xr:uid="{00000000-0004-0000-0100-000024000000}"/>
    <hyperlink ref="E39" r:id="rId38" xr:uid="{00000000-0004-0000-0100-000025000000}"/>
    <hyperlink ref="E40" r:id="rId39" xr:uid="{00000000-0004-0000-0100-000026000000}"/>
  </hyperlinks>
  <pageMargins left="0.7" right="0.7" top="0.75" bottom="0.75" header="0.3" footer="0.3"/>
  <tableParts count="1">
    <tablePart r:id="rId4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showGridLines="0" workbookViewId="0"/>
  </sheetViews>
  <sheetFormatPr defaultRowHeight="14.4" x14ac:dyDescent="0.3"/>
  <cols>
    <col min="1" max="1" width="10.77734375" customWidth="1"/>
    <col min="2" max="2" width="72.77734375" customWidth="1"/>
    <col min="3" max="3" width="22.77734375" customWidth="1"/>
    <col min="4" max="4" width="52.77734375" customWidth="1"/>
    <col min="5" max="5" width="78.77734375" customWidth="1"/>
    <col min="6" max="6" width="14.77734375" customWidth="1"/>
  </cols>
  <sheetData>
    <row r="1" spans="1:6" x14ac:dyDescent="0.3">
      <c r="A1" s="8" t="s">
        <v>403</v>
      </c>
      <c r="B1" s="9" t="s">
        <v>404</v>
      </c>
      <c r="C1" s="9" t="s">
        <v>405</v>
      </c>
      <c r="D1" s="9" t="s">
        <v>406</v>
      </c>
      <c r="E1" s="9" t="s">
        <v>407</v>
      </c>
      <c r="F1" s="10" t="s">
        <v>408</v>
      </c>
    </row>
    <row r="2" spans="1:6" ht="82.05" customHeight="1" x14ac:dyDescent="0.3">
      <c r="A2" s="6">
        <v>1</v>
      </c>
      <c r="B2" s="1" t="s">
        <v>87</v>
      </c>
      <c r="C2" s="1" t="s">
        <v>88</v>
      </c>
      <c r="D2" s="19" t="s">
        <v>90</v>
      </c>
      <c r="E2" s="1" t="s">
        <v>90</v>
      </c>
      <c r="F2" s="7" t="s">
        <v>409</v>
      </c>
    </row>
    <row r="3" spans="1:6" x14ac:dyDescent="0.3">
      <c r="A3" s="6">
        <v>2</v>
      </c>
      <c r="B3" s="1" t="s">
        <v>94</v>
      </c>
      <c r="C3" s="1" t="s">
        <v>88</v>
      </c>
      <c r="D3" s="19" t="s">
        <v>90</v>
      </c>
      <c r="E3" s="1" t="s">
        <v>90</v>
      </c>
      <c r="F3" s="7" t="s">
        <v>409</v>
      </c>
    </row>
    <row r="4" spans="1:6" x14ac:dyDescent="0.3">
      <c r="A4" s="6">
        <v>3</v>
      </c>
      <c r="B4" s="1" t="s">
        <v>118</v>
      </c>
      <c r="C4" s="1" t="s">
        <v>119</v>
      </c>
      <c r="D4" s="19" t="s">
        <v>120</v>
      </c>
      <c r="E4" s="1" t="s">
        <v>120</v>
      </c>
      <c r="F4" s="7" t="s">
        <v>409</v>
      </c>
    </row>
    <row r="5" spans="1:6" x14ac:dyDescent="0.3">
      <c r="A5" s="6">
        <v>4</v>
      </c>
      <c r="B5" s="1" t="s">
        <v>123</v>
      </c>
      <c r="C5" s="1" t="s">
        <v>119</v>
      </c>
      <c r="D5" s="19" t="s">
        <v>124</v>
      </c>
      <c r="E5" s="1" t="s">
        <v>124</v>
      </c>
      <c r="F5" s="7" t="s">
        <v>409</v>
      </c>
    </row>
    <row r="6" spans="1:6" x14ac:dyDescent="0.3">
      <c r="A6" s="6">
        <v>5</v>
      </c>
      <c r="B6" s="1" t="s">
        <v>127</v>
      </c>
      <c r="C6" s="1" t="s">
        <v>119</v>
      </c>
      <c r="D6" s="19" t="s">
        <v>128</v>
      </c>
      <c r="E6" s="1" t="s">
        <v>128</v>
      </c>
      <c r="F6" s="7" t="s">
        <v>409</v>
      </c>
    </row>
    <row r="7" spans="1:6" x14ac:dyDescent="0.3">
      <c r="A7" s="6">
        <v>6</v>
      </c>
      <c r="B7" s="1" t="s">
        <v>131</v>
      </c>
      <c r="C7" s="1" t="s">
        <v>119</v>
      </c>
      <c r="D7" s="19" t="s">
        <v>132</v>
      </c>
      <c r="E7" s="1" t="s">
        <v>132</v>
      </c>
      <c r="F7" s="7" t="s">
        <v>409</v>
      </c>
    </row>
    <row r="8" spans="1:6" x14ac:dyDescent="0.3">
      <c r="A8" s="6">
        <v>7</v>
      </c>
      <c r="B8" s="1" t="s">
        <v>135</v>
      </c>
      <c r="C8" s="1" t="s">
        <v>136</v>
      </c>
      <c r="D8" s="19" t="s">
        <v>137</v>
      </c>
      <c r="E8" s="1" t="s">
        <v>137</v>
      </c>
      <c r="F8" s="7" t="s">
        <v>409</v>
      </c>
    </row>
    <row r="9" spans="1:6" x14ac:dyDescent="0.3">
      <c r="A9" s="6">
        <v>8</v>
      </c>
      <c r="B9" s="1" t="s">
        <v>140</v>
      </c>
      <c r="C9" s="1" t="s">
        <v>88</v>
      </c>
      <c r="D9" s="19" t="s">
        <v>141</v>
      </c>
      <c r="E9" s="1" t="s">
        <v>141</v>
      </c>
      <c r="F9" s="7" t="s">
        <v>409</v>
      </c>
    </row>
    <row r="10" spans="1:6" x14ac:dyDescent="0.3">
      <c r="A10" s="6">
        <v>9</v>
      </c>
      <c r="B10" s="1" t="s">
        <v>160</v>
      </c>
      <c r="C10" s="1" t="s">
        <v>161</v>
      </c>
      <c r="D10" s="19" t="s">
        <v>410</v>
      </c>
      <c r="E10" s="1" t="s">
        <v>162</v>
      </c>
      <c r="F10" s="7" t="s">
        <v>409</v>
      </c>
    </row>
    <row r="11" spans="1:6" x14ac:dyDescent="0.3">
      <c r="A11" s="6">
        <v>10</v>
      </c>
      <c r="B11" s="1" t="s">
        <v>165</v>
      </c>
      <c r="C11" s="1" t="s">
        <v>161</v>
      </c>
      <c r="D11" s="19" t="s">
        <v>411</v>
      </c>
      <c r="E11" s="1" t="s">
        <v>166</v>
      </c>
      <c r="F11" s="7" t="s">
        <v>409</v>
      </c>
    </row>
    <row r="12" spans="1:6" x14ac:dyDescent="0.3">
      <c r="A12" s="6">
        <v>11</v>
      </c>
      <c r="B12" s="1" t="s">
        <v>194</v>
      </c>
      <c r="C12" s="1" t="s">
        <v>161</v>
      </c>
      <c r="D12" s="19" t="s">
        <v>412</v>
      </c>
      <c r="E12" s="1" t="s">
        <v>195</v>
      </c>
      <c r="F12" s="7" t="s">
        <v>409</v>
      </c>
    </row>
    <row r="13" spans="1:6" x14ac:dyDescent="0.3">
      <c r="A13" s="6">
        <v>12</v>
      </c>
      <c r="B13" s="1" t="s">
        <v>198</v>
      </c>
      <c r="C13" s="1" t="s">
        <v>119</v>
      </c>
      <c r="D13" s="19" t="s">
        <v>199</v>
      </c>
      <c r="E13" s="1" t="s">
        <v>199</v>
      </c>
      <c r="F13" s="7" t="s">
        <v>409</v>
      </c>
    </row>
    <row r="14" spans="1:6" ht="28.8" x14ac:dyDescent="0.3">
      <c r="A14" s="6">
        <v>13</v>
      </c>
      <c r="B14" s="1" t="s">
        <v>239</v>
      </c>
      <c r="C14" s="1" t="s">
        <v>240</v>
      </c>
      <c r="D14" s="19" t="s">
        <v>241</v>
      </c>
      <c r="E14" s="1" t="s">
        <v>241</v>
      </c>
      <c r="F14" s="7" t="s">
        <v>409</v>
      </c>
    </row>
    <row r="15" spans="1:6" x14ac:dyDescent="0.3">
      <c r="A15" s="6">
        <v>14</v>
      </c>
      <c r="B15" s="1" t="s">
        <v>244</v>
      </c>
      <c r="C15" s="1" t="s">
        <v>161</v>
      </c>
      <c r="D15" s="19" t="s">
        <v>413</v>
      </c>
      <c r="E15" s="1" t="s">
        <v>245</v>
      </c>
      <c r="F15" s="7" t="s">
        <v>409</v>
      </c>
    </row>
    <row r="16" spans="1:6" x14ac:dyDescent="0.3">
      <c r="A16" s="6">
        <v>15</v>
      </c>
      <c r="B16" s="1" t="s">
        <v>248</v>
      </c>
      <c r="C16" s="1" t="s">
        <v>161</v>
      </c>
      <c r="D16" s="19" t="s">
        <v>414</v>
      </c>
      <c r="E16" s="1" t="s">
        <v>249</v>
      </c>
      <c r="F16" s="7" t="s">
        <v>409</v>
      </c>
    </row>
    <row r="17" spans="1:6" ht="82.05" customHeight="1" x14ac:dyDescent="0.3">
      <c r="A17" s="6">
        <v>16</v>
      </c>
      <c r="B17" s="1" t="s">
        <v>252</v>
      </c>
      <c r="C17" s="1" t="s">
        <v>119</v>
      </c>
      <c r="D17" s="19" t="s">
        <v>253</v>
      </c>
      <c r="E17" s="1" t="s">
        <v>253</v>
      </c>
      <c r="F17" s="7" t="s">
        <v>409</v>
      </c>
    </row>
    <row r="18" spans="1:6" x14ac:dyDescent="0.3">
      <c r="A18" s="6">
        <v>17</v>
      </c>
      <c r="B18" s="1" t="s">
        <v>256</v>
      </c>
      <c r="C18" s="1" t="s">
        <v>161</v>
      </c>
      <c r="D18" s="19" t="s">
        <v>415</v>
      </c>
      <c r="E18" s="1" t="s">
        <v>257</v>
      </c>
      <c r="F18" s="7" t="s">
        <v>409</v>
      </c>
    </row>
    <row r="19" spans="1:6" ht="82.05" customHeight="1" x14ac:dyDescent="0.3">
      <c r="A19" s="6">
        <v>18</v>
      </c>
      <c r="B19" s="1" t="s">
        <v>261</v>
      </c>
      <c r="C19" s="1" t="s">
        <v>161</v>
      </c>
      <c r="D19" s="19" t="s">
        <v>416</v>
      </c>
      <c r="E19" s="1" t="s">
        <v>262</v>
      </c>
      <c r="F19" s="7" t="s">
        <v>409</v>
      </c>
    </row>
    <row r="20" spans="1:6" x14ac:dyDescent="0.3">
      <c r="A20" s="6">
        <v>19</v>
      </c>
      <c r="B20" s="1" t="s">
        <v>265</v>
      </c>
      <c r="C20" s="1" t="s">
        <v>161</v>
      </c>
      <c r="D20" s="19" t="s">
        <v>417</v>
      </c>
      <c r="E20" s="1" t="s">
        <v>266</v>
      </c>
      <c r="F20" s="7" t="s">
        <v>409</v>
      </c>
    </row>
    <row r="21" spans="1:6" x14ac:dyDescent="0.3">
      <c r="A21" s="6">
        <v>20</v>
      </c>
      <c r="B21" s="1" t="s">
        <v>269</v>
      </c>
      <c r="C21" s="1" t="s">
        <v>161</v>
      </c>
      <c r="D21" s="19" t="s">
        <v>418</v>
      </c>
      <c r="E21" s="1" t="s">
        <v>270</v>
      </c>
      <c r="F21" s="7" t="s">
        <v>409</v>
      </c>
    </row>
    <row r="22" spans="1:6" ht="82.05" customHeight="1" x14ac:dyDescent="0.3">
      <c r="A22" s="6">
        <v>21</v>
      </c>
      <c r="B22" s="1" t="s">
        <v>273</v>
      </c>
      <c r="C22" s="1" t="s">
        <v>161</v>
      </c>
      <c r="D22" s="19" t="s">
        <v>419</v>
      </c>
      <c r="E22" s="1" t="s">
        <v>274</v>
      </c>
      <c r="F22" s="7" t="s">
        <v>409</v>
      </c>
    </row>
    <row r="23" spans="1:6" x14ac:dyDescent="0.3">
      <c r="A23" s="6">
        <v>22</v>
      </c>
      <c r="B23" s="1" t="s">
        <v>277</v>
      </c>
      <c r="C23" s="1" t="s">
        <v>161</v>
      </c>
      <c r="D23" s="19" t="s">
        <v>420</v>
      </c>
      <c r="E23" s="1" t="s">
        <v>278</v>
      </c>
      <c r="F23" s="7" t="s">
        <v>409</v>
      </c>
    </row>
    <row r="24" spans="1:6" x14ac:dyDescent="0.3">
      <c r="A24" s="6">
        <v>23</v>
      </c>
      <c r="B24" s="1" t="s">
        <v>281</v>
      </c>
      <c r="C24" s="1" t="s">
        <v>161</v>
      </c>
      <c r="D24" s="19" t="s">
        <v>421</v>
      </c>
      <c r="E24" s="1" t="s">
        <v>282</v>
      </c>
      <c r="F24" s="7" t="s">
        <v>409</v>
      </c>
    </row>
    <row r="25" spans="1:6" x14ac:dyDescent="0.3">
      <c r="A25" s="6">
        <v>24</v>
      </c>
      <c r="B25" s="1" t="s">
        <v>285</v>
      </c>
      <c r="C25" s="1" t="s">
        <v>161</v>
      </c>
      <c r="D25" s="19" t="s">
        <v>422</v>
      </c>
      <c r="E25" s="1" t="s">
        <v>286</v>
      </c>
      <c r="F25" s="7" t="s">
        <v>409</v>
      </c>
    </row>
    <row r="26" spans="1:6" x14ac:dyDescent="0.3">
      <c r="A26" s="6">
        <v>25</v>
      </c>
      <c r="B26" s="1" t="s">
        <v>289</v>
      </c>
      <c r="C26" s="1" t="s">
        <v>161</v>
      </c>
      <c r="D26" s="19" t="s">
        <v>423</v>
      </c>
      <c r="E26" s="1" t="s">
        <v>290</v>
      </c>
      <c r="F26" s="7" t="s">
        <v>409</v>
      </c>
    </row>
    <row r="27" spans="1:6" x14ac:dyDescent="0.3">
      <c r="A27" s="6">
        <v>26</v>
      </c>
      <c r="B27" s="1" t="s">
        <v>293</v>
      </c>
      <c r="C27" s="1" t="s">
        <v>161</v>
      </c>
      <c r="D27" s="19" t="s">
        <v>424</v>
      </c>
      <c r="E27" s="1" t="s">
        <v>294</v>
      </c>
      <c r="F27" s="7" t="s">
        <v>409</v>
      </c>
    </row>
    <row r="28" spans="1:6" ht="82.05" customHeight="1" x14ac:dyDescent="0.3">
      <c r="A28" s="6">
        <v>27</v>
      </c>
      <c r="B28" s="1" t="s">
        <v>297</v>
      </c>
      <c r="C28" s="1" t="s">
        <v>161</v>
      </c>
      <c r="D28" s="19" t="s">
        <v>425</v>
      </c>
      <c r="E28" s="1" t="s">
        <v>298</v>
      </c>
      <c r="F28" s="7" t="s">
        <v>409</v>
      </c>
    </row>
    <row r="29" spans="1:6" x14ac:dyDescent="0.3">
      <c r="A29" s="6">
        <v>28</v>
      </c>
      <c r="B29" s="1" t="s">
        <v>301</v>
      </c>
      <c r="C29" s="1" t="s">
        <v>161</v>
      </c>
      <c r="D29" s="19" t="s">
        <v>426</v>
      </c>
      <c r="E29" s="1" t="s">
        <v>302</v>
      </c>
      <c r="F29" s="7" t="s">
        <v>409</v>
      </c>
    </row>
    <row r="30" spans="1:6" x14ac:dyDescent="0.3">
      <c r="A30" s="6">
        <v>29</v>
      </c>
      <c r="B30" s="1" t="s">
        <v>305</v>
      </c>
      <c r="C30" s="1" t="s">
        <v>161</v>
      </c>
      <c r="D30" s="19" t="s">
        <v>427</v>
      </c>
      <c r="E30" s="1" t="s">
        <v>306</v>
      </c>
      <c r="F30" s="7" t="s">
        <v>409</v>
      </c>
    </row>
    <row r="31" spans="1:6" x14ac:dyDescent="0.3">
      <c r="A31" s="6">
        <v>30</v>
      </c>
      <c r="B31" s="1" t="s">
        <v>309</v>
      </c>
      <c r="C31" s="1" t="s">
        <v>161</v>
      </c>
      <c r="D31" s="19" t="s">
        <v>428</v>
      </c>
      <c r="E31" s="1" t="s">
        <v>310</v>
      </c>
      <c r="F31" s="7" t="s">
        <v>409</v>
      </c>
    </row>
    <row r="32" spans="1:6" x14ac:dyDescent="0.3">
      <c r="A32" s="6">
        <v>31</v>
      </c>
      <c r="B32" s="1" t="s">
        <v>313</v>
      </c>
      <c r="C32" s="1" t="s">
        <v>119</v>
      </c>
      <c r="D32" s="19" t="s">
        <v>314</v>
      </c>
      <c r="E32" s="1" t="s">
        <v>314</v>
      </c>
      <c r="F32" s="7" t="s">
        <v>409</v>
      </c>
    </row>
    <row r="33" spans="1:6" ht="82.05" customHeight="1" x14ac:dyDescent="0.3">
      <c r="A33" s="6">
        <v>32</v>
      </c>
      <c r="B33" s="1" t="s">
        <v>317</v>
      </c>
      <c r="C33" s="1" t="s">
        <v>318</v>
      </c>
      <c r="D33" s="19" t="s">
        <v>319</v>
      </c>
      <c r="E33" s="1" t="s">
        <v>319</v>
      </c>
      <c r="F33" s="7" t="s">
        <v>409</v>
      </c>
    </row>
    <row r="34" spans="1:6" ht="82.05" customHeight="1" x14ac:dyDescent="0.3">
      <c r="A34" s="6">
        <v>33</v>
      </c>
      <c r="B34" s="1" t="s">
        <v>322</v>
      </c>
      <c r="C34" s="1" t="s">
        <v>318</v>
      </c>
      <c r="D34" s="19" t="s">
        <v>323</v>
      </c>
      <c r="E34" s="1" t="s">
        <v>323</v>
      </c>
      <c r="F34" s="7" t="s">
        <v>409</v>
      </c>
    </row>
    <row r="35" spans="1:6" ht="82.05" customHeight="1" x14ac:dyDescent="0.3">
      <c r="A35" s="11">
        <v>34</v>
      </c>
      <c r="B35" s="12" t="s">
        <v>326</v>
      </c>
      <c r="C35" s="12" t="s">
        <v>318</v>
      </c>
      <c r="D35" s="20" t="s">
        <v>327</v>
      </c>
      <c r="E35" s="12" t="s">
        <v>327</v>
      </c>
      <c r="F35" s="15" t="s">
        <v>409</v>
      </c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B000000}"/>
    <hyperlink ref="D14" r:id="rId13" xr:uid="{00000000-0004-0000-0200-00000C000000}"/>
    <hyperlink ref="D15" r:id="rId14" xr:uid="{00000000-0004-0000-0200-00000D000000}"/>
    <hyperlink ref="D16" r:id="rId15" xr:uid="{00000000-0004-0000-0200-00000E000000}"/>
    <hyperlink ref="D17" r:id="rId16" xr:uid="{00000000-0004-0000-0200-00000F000000}"/>
    <hyperlink ref="D18" r:id="rId17" xr:uid="{00000000-0004-0000-0200-000010000000}"/>
    <hyperlink ref="D19" r:id="rId18" xr:uid="{00000000-0004-0000-0200-000011000000}"/>
    <hyperlink ref="D20" r:id="rId19" xr:uid="{00000000-0004-0000-0200-000012000000}"/>
    <hyperlink ref="D21" r:id="rId20" xr:uid="{00000000-0004-0000-0200-000013000000}"/>
    <hyperlink ref="D22" r:id="rId21" xr:uid="{00000000-0004-0000-0200-000014000000}"/>
    <hyperlink ref="D23" r:id="rId22" xr:uid="{00000000-0004-0000-0200-000015000000}"/>
    <hyperlink ref="D24" r:id="rId23" xr:uid="{00000000-0004-0000-0200-000016000000}"/>
    <hyperlink ref="D25" r:id="rId24" xr:uid="{00000000-0004-0000-0200-000017000000}"/>
    <hyperlink ref="D26" r:id="rId25" xr:uid="{00000000-0004-0000-0200-000018000000}"/>
    <hyperlink ref="D27" r:id="rId26" xr:uid="{00000000-0004-0000-0200-000019000000}"/>
    <hyperlink ref="D28" r:id="rId27" xr:uid="{00000000-0004-0000-0200-00001A000000}"/>
    <hyperlink ref="D29" r:id="rId28" xr:uid="{00000000-0004-0000-0200-00001B000000}"/>
    <hyperlink ref="D30" r:id="rId29" xr:uid="{00000000-0004-0000-0200-00001C000000}"/>
    <hyperlink ref="D31" r:id="rId30" xr:uid="{00000000-0004-0000-0200-00001D000000}"/>
    <hyperlink ref="D32" r:id="rId31" xr:uid="{00000000-0004-0000-0200-00001E000000}"/>
    <hyperlink ref="D33" r:id="rId32" xr:uid="{00000000-0004-0000-0200-00001F000000}"/>
    <hyperlink ref="D34" r:id="rId33" xr:uid="{00000000-0004-0000-0200-000020000000}"/>
    <hyperlink ref="D35" r:id="rId34" xr:uid="{00000000-0004-0000-0200-000021000000}"/>
  </hyperlinks>
  <pageMargins left="0.7" right="0.7" top="0.75" bottom="0.75" header="0.3" footer="0.3"/>
  <tableParts count="1">
    <tablePart r:id="rId3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workbookViewId="0"/>
  </sheetViews>
  <sheetFormatPr defaultRowHeight="14.4" x14ac:dyDescent="0.3"/>
  <cols>
    <col min="1" max="1" width="24.77734375" customWidth="1"/>
    <col min="2" max="2" width="34.77734375" customWidth="1"/>
    <col min="3" max="3" width="4.77734375" customWidth="1"/>
    <col min="4" max="4" width="24.77734375" customWidth="1"/>
    <col min="5" max="5" width="88.77734375" customWidth="1"/>
  </cols>
  <sheetData>
    <row r="1" spans="1:6" ht="21" x14ac:dyDescent="0.4">
      <c r="A1" s="26" t="s">
        <v>429</v>
      </c>
      <c r="B1" s="27"/>
      <c r="C1" s="27"/>
      <c r="D1" s="27"/>
      <c r="E1" s="27"/>
      <c r="F1" s="27"/>
    </row>
    <row r="3" spans="1:6" ht="28.8" x14ac:dyDescent="0.3">
      <c r="A3" s="21" t="s">
        <v>430</v>
      </c>
      <c r="B3" s="22">
        <v>46194</v>
      </c>
      <c r="C3" s="23"/>
      <c r="D3" s="21" t="s">
        <v>431</v>
      </c>
      <c r="E3" s="23" t="s">
        <v>432</v>
      </c>
    </row>
    <row r="4" spans="1:6" x14ac:dyDescent="0.3">
      <c r="A4" s="21" t="s">
        <v>433</v>
      </c>
      <c r="B4" s="23" t="s">
        <v>434</v>
      </c>
      <c r="C4" s="23"/>
      <c r="D4" s="21" t="s">
        <v>435</v>
      </c>
      <c r="E4" s="23" t="s">
        <v>436</v>
      </c>
    </row>
    <row r="5" spans="1:6" ht="28.8" x14ac:dyDescent="0.3">
      <c r="A5" s="21" t="s">
        <v>437</v>
      </c>
      <c r="B5" s="23">
        <f>COUNTA('Study Sequence'!A:A)-1</f>
        <v>73</v>
      </c>
      <c r="C5" s="23"/>
      <c r="D5" s="21" t="s">
        <v>438</v>
      </c>
      <c r="E5" s="23" t="s">
        <v>439</v>
      </c>
    </row>
    <row r="6" spans="1:6" ht="28.8" x14ac:dyDescent="0.3">
      <c r="A6" s="21" t="s">
        <v>440</v>
      </c>
      <c r="B6" s="23">
        <f>COUNTIF('Study Sequence'!C:C,"Video Playlist")</f>
        <v>39</v>
      </c>
      <c r="C6" s="23"/>
      <c r="D6" s="21" t="s">
        <v>441</v>
      </c>
      <c r="E6" s="23" t="s">
        <v>442</v>
      </c>
    </row>
    <row r="7" spans="1:6" x14ac:dyDescent="0.3">
      <c r="A7" s="21" t="s">
        <v>443</v>
      </c>
      <c r="B7" s="23">
        <f>COUNTIF('Study Sequence'!C:C,"Book/Repo Question")</f>
        <v>34</v>
      </c>
      <c r="C7" s="23"/>
      <c r="D7" s="21" t="s">
        <v>444</v>
      </c>
      <c r="E7" s="23" t="s">
        <v>445</v>
      </c>
    </row>
    <row r="8" spans="1:6" ht="28.8" x14ac:dyDescent="0.3">
      <c r="A8" s="21" t="s">
        <v>446</v>
      </c>
      <c r="B8" s="23">
        <f>COUNTIF('Study Sequence'!G:G,"Done")</f>
        <v>5</v>
      </c>
      <c r="C8" s="23"/>
      <c r="D8" s="21" t="s">
        <v>447</v>
      </c>
      <c r="E8" s="23" t="s">
        <v>448</v>
      </c>
    </row>
    <row r="9" spans="1:6" x14ac:dyDescent="0.3">
      <c r="A9" s="21" t="s">
        <v>449</v>
      </c>
      <c r="B9" s="23">
        <f>B5-B8</f>
        <v>68</v>
      </c>
      <c r="C9" s="23"/>
      <c r="D9" s="21" t="s">
        <v>450</v>
      </c>
      <c r="E9" s="23" t="s">
        <v>451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Study Sequence</vt:lpstr>
      <vt:lpstr>Video Playlist Raw</vt:lpstr>
      <vt:lpstr>Repo Questions Raw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 Tripathi</cp:lastModifiedBy>
  <dcterms:created xsi:type="dcterms:W3CDTF">2026-06-22T16:23:13Z</dcterms:created>
  <dcterms:modified xsi:type="dcterms:W3CDTF">2026-06-23T11:21:01Z</dcterms:modified>
</cp:coreProperties>
</file>